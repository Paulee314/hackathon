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les" sheetId="1" state="visible" r:id="rId1"/>
    <sheet name="Assumptions" sheetId="2" state="visible" r:id="rId2"/>
    <sheet name="Offers" sheetId="3" state="visible" r:id="rId3"/>
  </sheets>
  <definedNames>
    <definedName name="_xlnm._FilterDatabase" localSheetId="2" hidden="1">'Offers'!$A$1:$S$239</definedName>
  </definedNames>
  <calcPr calcId="124519" fullCalcOnLoad="1"/>
</workbook>
</file>

<file path=xl/styles.xml><?xml version="1.0" encoding="utf-8"?>
<styleSheet xmlns="http://schemas.openxmlformats.org/spreadsheetml/2006/main">
  <numFmts count="11">
    <numFmt numFmtId="164" formatCode="0.000"/>
    <numFmt numFmtId="165" formatCode="$0.00"/>
    <numFmt numFmtId="166" formatCode="$0.000"/>
    <numFmt numFmtId="167" formatCode="$#,##0"/>
    <numFmt numFmtId="168" formatCode="$0.0000"/>
    <numFmt numFmtId="169" formatCode="0.0%"/>
    <numFmt numFmtId="170" formatCode="0.0"/>
    <numFmt numFmtId="171" formatCode="yyyy-mm-dd h:mm:ss"/>
    <numFmt numFmtId="172" formatCode="ddd mmm d, h:mm AM/PM"/>
    <numFmt numFmtId="173" formatCode="$#,##0.00;($#,##0.00);&quot;-&quot;"/>
    <numFmt numFmtId="174" formatCode="+$#,##0.00;-$#,##0.00;&quot;-&quot;"/>
  </numFmts>
  <fonts count="8">
    <font>
      <name val="Calibri"/>
      <family val="2"/>
      <color theme="1"/>
      <sz val="11"/>
      <scheme val="minor"/>
    </font>
    <font>
      <name val="Arial"/>
      <b val="1"/>
      <color rgb="002D2A5A"/>
      <sz val="14"/>
    </font>
    <font>
      <name val="Arial"/>
      <sz val="10"/>
    </font>
    <font>
      <name val="Arial"/>
      <color rgb="000000FF"/>
      <sz val="10"/>
    </font>
    <font>
      <name val="Arial"/>
      <i val="1"/>
      <color rgb="005C5A86"/>
      <sz val="9"/>
    </font>
    <font>
      <name val="Arial"/>
      <b val="1"/>
      <color rgb="00FFFFFF"/>
      <sz val="10"/>
    </font>
    <font>
      <name val="Arial"/>
      <color rgb="00008000"/>
      <sz val="10"/>
    </font>
    <font>
      <name val="Arial"/>
      <b val="1"/>
      <sz val="10"/>
    </font>
  </fonts>
  <fills count="5">
    <fill>
      <patternFill/>
    </fill>
    <fill>
      <patternFill patternType="gray125"/>
    </fill>
    <fill>
      <patternFill patternType="solid">
        <fgColor rgb="002D2A5A"/>
      </patternFill>
    </fill>
    <fill>
      <patternFill patternType="solid">
        <fgColor rgb="00FFFF00"/>
      </patternFill>
    </fill>
    <fill>
      <patternFill patternType="solid">
        <fgColor rgb="00EEF6FF"/>
      </patternFill>
    </fill>
  </fills>
  <borders count="2">
    <border>
      <left/>
      <right/>
      <top/>
      <bottom/>
      <diagonal/>
    </border>
    <border>
      <bottom style="thin">
        <color rgb="00DCEBFF"/>
      </bottom>
    </border>
  </borders>
  <cellStyleXfs count="1">
    <xf numFmtId="0" fontId="0" fillId="0" borderId="0"/>
  </cellStyleXfs>
  <cellXfs count="34">
    <xf numFmtId="0" fontId="0" fillId="0" borderId="0" pivotButton="0" quotePrefix="0" xfId="0"/>
    <xf numFmtId="0" fontId="1" fillId="0" borderId="0" pivotButton="0" quotePrefix="0" xfId="0"/>
    <xf numFmtId="0" fontId="4" fillId="0" borderId="0" applyAlignment="1" pivotButton="0" quotePrefix="0" xfId="0">
      <alignment vertical="top" wrapText="1"/>
    </xf>
    <xf numFmtId="0" fontId="5" fillId="2" borderId="0" applyAlignment="1" pivotButton="0" quotePrefix="0" xfId="0">
      <alignment vertical="center" wrapText="1"/>
    </xf>
    <xf numFmtId="0" fontId="7" fillId="0" borderId="1" pivotButton="0" quotePrefix="0" xfId="0"/>
    <xf numFmtId="0" fontId="6" fillId="0" borderId="1" pivotButton="0" quotePrefix="0" xfId="0"/>
    <xf numFmtId="173" fontId="6" fillId="0" borderId="1" pivotButton="0" quotePrefix="0" xfId="0"/>
    <xf numFmtId="173" fontId="2" fillId="0" borderId="1" pivotButton="0" quotePrefix="0" xfId="0"/>
    <xf numFmtId="174" fontId="2" fillId="0" borderId="1" pivotButton="0" quotePrefix="0" xfId="0"/>
    <xf numFmtId="0" fontId="2" fillId="0" borderId="1" pivotButton="0" quotePrefix="0" xfId="0"/>
    <xf numFmtId="0" fontId="4" fillId="0" borderId="0" pivotButton="0" quotePrefix="0" xfId="0"/>
    <xf numFmtId="0" fontId="5" fillId="2" borderId="0" pivotButton="0" quotePrefix="0" xfId="0"/>
    <xf numFmtId="0" fontId="2" fillId="0" borderId="0" pivotButton="0" quotePrefix="0" xfId="0"/>
    <xf numFmtId="164" fontId="3" fillId="0" borderId="0" pivotButton="0" quotePrefix="0" xfId="0"/>
    <xf numFmtId="165" fontId="3" fillId="0" borderId="0" pivotButton="0" quotePrefix="0" xfId="0"/>
    <xf numFmtId="9" fontId="3" fillId="0" borderId="0" pivotButton="0" quotePrefix="0" xfId="0"/>
    <xf numFmtId="166" fontId="2" fillId="0" borderId="0" pivotButton="0" quotePrefix="0" xfId="0"/>
    <xf numFmtId="167" fontId="3" fillId="0" borderId="0" pivotButton="0" quotePrefix="0" xfId="0"/>
    <xf numFmtId="3" fontId="3" fillId="0" borderId="0" pivotButton="0" quotePrefix="0" xfId="0"/>
    <xf numFmtId="168" fontId="2" fillId="0" borderId="0" pivotButton="0" quotePrefix="0" xfId="0"/>
    <xf numFmtId="168" fontId="2" fillId="3" borderId="0" pivotButton="0" quotePrefix="0" xfId="0"/>
    <xf numFmtId="169" fontId="3" fillId="3" borderId="0" pivotButton="0" quotePrefix="0" xfId="0"/>
    <xf numFmtId="170" fontId="3" fillId="0" borderId="0" pivotButton="0" quotePrefix="0" xfId="0"/>
    <xf numFmtId="1" fontId="3" fillId="0" borderId="0" pivotButton="0" quotePrefix="0" xfId="0"/>
    <xf numFmtId="172" fontId="2" fillId="4" borderId="0" pivotButton="0" quotePrefix="0" xfId="0"/>
    <xf numFmtId="0" fontId="2" fillId="4" borderId="0" pivotButton="0" quotePrefix="0" xfId="0"/>
    <xf numFmtId="2" fontId="3" fillId="4" borderId="0" pivotButton="0" quotePrefix="0" xfId="0"/>
    <xf numFmtId="170" fontId="3" fillId="4" borderId="0" pivotButton="0" quotePrefix="0" xfId="0"/>
    <xf numFmtId="173" fontId="3" fillId="4" borderId="0" pivotButton="0" quotePrefix="0" xfId="0"/>
    <xf numFmtId="173" fontId="2" fillId="4" borderId="0" pivotButton="0" quotePrefix="0" xfId="0"/>
    <xf numFmtId="172" fontId="2" fillId="0" borderId="0" pivotButton="0" quotePrefix="0" xfId="0"/>
    <xf numFmtId="2" fontId="3" fillId="0" borderId="0" pivotButton="0" quotePrefix="0" xfId="0"/>
    <xf numFmtId="173" fontId="3" fillId="0" borderId="0" pivotButton="0" quotePrefix="0" xfId="0"/>
    <xf numFmtId="173" fontId="2" fillId="0" borderId="0" pivotButton="0" quotePrefix="0" xfId="0"/>
  </cellXfs>
  <cellStyles count="1">
    <cellStyle name="Normal" xfId="0" builtinId="0" hidden="0"/>
  </cellStyles>
  <dxfs count="5">
    <dxf>
      <font>
        <name val="Arial"/>
        <b val="1"/>
        <color rgb="001F6B4F"/>
        <sz val="10"/>
      </font>
    </dxf>
    <dxf>
      <font>
        <name val="Arial"/>
        <b val="1"/>
        <color rgb="00A3245E"/>
        <sz val="10"/>
      </font>
    </dxf>
    <dxf>
      <fill>
        <patternFill patternType="solid">
          <fgColor rgb="00D6F5E3"/>
        </patternFill>
      </fill>
    </dxf>
    <dxf>
      <fill>
        <patternFill patternType="solid">
          <fgColor rgb="00FFE3F1"/>
        </patternFill>
      </fill>
    </dxf>
    <dxf>
      <fill>
        <patternFill patternType="solid">
          <fgColor rgb="00E6E6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hackathon</author>
  </authors>
  <commentList>
    <comment ref="J1" authorId="0" shapeId="0">
      <text>
        <t>Took: the driver accepted the offer and drove it. Passed: the driver declined it.</t>
      </text>
    </comment>
    <comment ref="L1" authorId="0" shapeId="0">
      <text>
        <t>From the ride's own drives: fare and tip minus electricity, wear and tires, with the pickup miles charged to the ride (car/profit.py).</t>
      </text>
    </comment>
    <comment ref="M1" authorId="0" shapeId="0">
      <text>
        <t>Actual true profit for rides driven; for offers passed on, an estimate from the offer card: fare plus the month's tip rate, minus card miles at the car cost per mile.</t>
      </text>
    </comment>
    <comment ref="N1" authorId="0" shapeId="0">
      <text>
        <t>Take: the rule takes it. Skip: the rule turns it down. Busy: the rule would take it, but the car is on another ride. Computed by the replay in car/rules.py.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38" customWidth="1" min="1" max="1"/>
    <col width="9" customWidth="1" min="2" max="2"/>
    <col width="15" customWidth="1" min="3" max="3"/>
    <col width="14" customWidth="1" min="4" max="4"/>
    <col width="15" customWidth="1" min="5" max="5"/>
    <col width="15" customWidth="1" min="6" max="6"/>
    <col width="15" customWidth="1" min="7" max="7"/>
  </cols>
  <sheetData>
    <row r="1">
      <c r="A1" s="1" t="inlineStr">
        <is>
          <t>Ride rules, replayed on every offer this month</t>
        </is>
      </c>
    </row>
    <row r="2" ht="30" customHeight="1">
      <c r="A2" s="2" t="inlineStr">
        <is>
          <t>Each rule sits on top of what you did: it drops the rides you took that it would have skipped, then fills the freed time with offers you passed on that fit. True profit is after electricity, wear on the car and tires.</t>
        </is>
      </c>
    </row>
    <row r="4" ht="32" customHeight="1">
      <c r="A4" s="3" t="inlineStr">
        <is>
          <t>Rule</t>
        </is>
      </c>
      <c r="B4" s="3" t="inlineStr">
        <is>
          <t>Rides</t>
        </is>
      </c>
      <c r="C4" s="3" t="inlineStr">
        <is>
          <t>True profit ($)</t>
        </is>
      </c>
      <c r="D4" s="3" t="inlineStr">
        <is>
          <t>Per hour on the road ($)</t>
        </is>
      </c>
      <c r="E4" s="3" t="inlineStr">
        <is>
          <t>Versus what you did ($)</t>
        </is>
      </c>
      <c r="F4" s="3" t="inlineStr">
        <is>
          <t>Rides you took that it skips</t>
        </is>
      </c>
      <c r="G4" s="3" t="inlineStr">
        <is>
          <t>Offers you passed that it takes</t>
        </is>
      </c>
    </row>
    <row r="5">
      <c r="A5" s="4" t="inlineStr">
        <is>
          <t>What you did</t>
        </is>
      </c>
      <c r="B5" s="5">
        <f>COUNTIF(Offers!$J$2:$J$239,"Took")</f>
        <v/>
      </c>
      <c r="C5" s="6">
        <f>SUMIFS(Offers!$M$2:$M$239,Offers!$J$2:$J$239,"Took")</f>
        <v/>
      </c>
      <c r="D5" s="7">
        <f>C5/Assumptions!$B$15</f>
        <v/>
      </c>
      <c r="E5" s="8">
        <f>C5-$C$5</f>
        <v/>
      </c>
      <c r="F5" s="5" t="n">
        <v>0</v>
      </c>
      <c r="G5" s="5" t="n">
        <v>0</v>
      </c>
    </row>
    <row r="6">
      <c r="A6" s="9" t="inlineStr">
        <is>
          <t>Skip pickups over 3 miles</t>
        </is>
      </c>
      <c r="B6" s="5">
        <f>COUNTIF(Offers!$N$2:$N$239,"Take")</f>
        <v/>
      </c>
      <c r="C6" s="6">
        <f>SUMIFS(Offers!$M$2:$M$239,Offers!$N$2:$N$239,"Take")</f>
        <v/>
      </c>
      <c r="D6" s="7">
        <f>C6/Assumptions!$B$15</f>
        <v/>
      </c>
      <c r="E6" s="8">
        <f>C6-$C$5</f>
        <v/>
      </c>
      <c r="F6" s="5">
        <f>COUNTIFS(Offers!$J$2:$J$239,"Took",Offers!$N$2:$N$239,"&lt;&gt;Take")</f>
        <v/>
      </c>
      <c r="G6" s="5">
        <f>COUNTIFS(Offers!$J$2:$J$239,"Passed",Offers!$N$2:$N$239,"Take")</f>
        <v/>
      </c>
    </row>
    <row r="7">
      <c r="A7" s="9" t="inlineStr">
        <is>
          <t>Skip pickups over 2 miles</t>
        </is>
      </c>
      <c r="B7" s="5">
        <f>COUNTIF(Offers!$O$2:$O$239,"Take")</f>
        <v/>
      </c>
      <c r="C7" s="6">
        <f>SUMIFS(Offers!$M$2:$M$239,Offers!$O$2:$O$239,"Take")</f>
        <v/>
      </c>
      <c r="D7" s="7">
        <f>C7/Assumptions!$B$15</f>
        <v/>
      </c>
      <c r="E7" s="8">
        <f>C7-$C$5</f>
        <v/>
      </c>
      <c r="F7" s="5">
        <f>COUNTIFS(Offers!$J$2:$J$239,"Took",Offers!$O$2:$O$239,"&lt;&gt;Take")</f>
        <v/>
      </c>
      <c r="G7" s="5">
        <f>COUNTIFS(Offers!$J$2:$J$239,"Passed",Offers!$O$2:$O$239,"Take")</f>
        <v/>
      </c>
    </row>
    <row r="8">
      <c r="A8" s="9" t="inlineStr">
        <is>
          <t>At least $1 a mile</t>
        </is>
      </c>
      <c r="B8" s="5">
        <f>COUNTIF(Offers!$P$2:$P$239,"Take")</f>
        <v/>
      </c>
      <c r="C8" s="6">
        <f>SUMIFS(Offers!$M$2:$M$239,Offers!$P$2:$P$239,"Take")</f>
        <v/>
      </c>
      <c r="D8" s="7">
        <f>C8/Assumptions!$B$15</f>
        <v/>
      </c>
      <c r="E8" s="8">
        <f>C8-$C$5</f>
        <v/>
      </c>
      <c r="F8" s="5">
        <f>COUNTIFS(Offers!$J$2:$J$239,"Took",Offers!$P$2:$P$239,"&lt;&gt;Take")</f>
        <v/>
      </c>
      <c r="G8" s="5">
        <f>COUNTIFS(Offers!$J$2:$J$239,"Passed",Offers!$P$2:$P$239,"Take")</f>
        <v/>
      </c>
    </row>
    <row r="9">
      <c r="A9" s="9" t="inlineStr">
        <is>
          <t>At least $20 an hour after car costs</t>
        </is>
      </c>
      <c r="B9" s="5">
        <f>COUNTIF(Offers!$Q$2:$Q$239,"Take")</f>
        <v/>
      </c>
      <c r="C9" s="6">
        <f>SUMIFS(Offers!$M$2:$M$239,Offers!$Q$2:$Q$239,"Take")</f>
        <v/>
      </c>
      <c r="D9" s="7">
        <f>C9/Assumptions!$B$15</f>
        <v/>
      </c>
      <c r="E9" s="8">
        <f>C9-$C$5</f>
        <v/>
      </c>
      <c r="F9" s="5">
        <f>COUNTIFS(Offers!$J$2:$J$239,"Took",Offers!$Q$2:$Q$239,"&lt;&gt;Take")</f>
        <v/>
      </c>
      <c r="G9" s="5">
        <f>COUNTIFS(Offers!$J$2:$J$239,"Passed",Offers!$Q$2:$Q$239,"Take")</f>
        <v/>
      </c>
    </row>
    <row r="10">
      <c r="A10" s="9" t="inlineStr">
        <is>
          <t>Take every offer</t>
        </is>
      </c>
      <c r="B10" s="5">
        <f>COUNTIF(Offers!$R$2:$R$239,"Take")</f>
        <v/>
      </c>
      <c r="C10" s="6">
        <f>SUMIFS(Offers!$M$2:$M$239,Offers!$R$2:$R$239,"Take")</f>
        <v/>
      </c>
      <c r="D10" s="7">
        <f>C10/Assumptions!$B$15</f>
        <v/>
      </c>
      <c r="E10" s="8">
        <f>C10-$C$5</f>
        <v/>
      </c>
      <c r="F10" s="5">
        <f>COUNTIFS(Offers!$J$2:$J$239,"Took",Offers!$R$2:$R$239,"&lt;&gt;Take")</f>
        <v/>
      </c>
      <c r="G10" s="5">
        <f>COUNTIFS(Offers!$J$2:$J$239,"Passed",Offers!$R$2:$R$239,"Take")</f>
        <v/>
      </c>
    </row>
    <row r="12">
      <c r="A12" s="10" t="inlineStr">
        <is>
          <t>Rides driven keep their real fare, tip, time and costs. Offers passed on are estimated from their offer cards (see Assumptions).</t>
        </is>
      </c>
    </row>
    <row r="13">
      <c r="A13" s="10" t="inlineStr">
        <is>
          <t>Hours on the road are the same for every rule, so the per-hour column compares rules fairly.</t>
        </is>
      </c>
    </row>
    <row r="14">
      <c r="A14" s="10" t="inlineStr">
        <is>
          <t>Say a rule in the app ("What if I skip pickups over 4 miles?") to replay one that isn't listed here.</t>
        </is>
      </c>
    </row>
  </sheetData>
  <mergeCells count="1">
    <mergeCell ref="A2:G2"/>
  </mergeCells>
  <conditionalFormatting sqref="E6:E10">
    <cfRule type="cellIs" priority="1" operator="greaterThan" dxfId="0">
      <formula>0</formula>
    </cfRule>
    <cfRule type="cellIs" priority="2" operator="lessThan" dxfId="1">
      <formula>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6" customWidth="1" min="1" max="1"/>
    <col width="14" customWidth="1" min="2" max="2"/>
    <col width="90" customWidth="1" min="3" max="3"/>
  </cols>
  <sheetData>
    <row r="1">
      <c r="A1" s="1" t="inlineStr">
        <is>
          <t>Assumptions behind the estimates</t>
        </is>
      </c>
    </row>
    <row r="3">
      <c r="A3" s="11" t="inlineStr">
        <is>
          <t>Input</t>
        </is>
      </c>
      <c r="B3" s="11" t="inlineStr">
        <is>
          <t>Value</t>
        </is>
      </c>
      <c r="C3" s="11" t="inlineStr">
        <is>
          <t>Where it comes from</t>
        </is>
      </c>
    </row>
    <row r="4">
      <c r="A4" s="12" t="inlineStr">
        <is>
          <t>Electricity used per mile (kWh)</t>
        </is>
      </c>
      <c r="B4" s="13" t="n">
        <v>0.249707249070632</v>
      </c>
      <c r="C4" s="10" t="inlineStr">
        <is>
          <t>Tessie drives for the month: energy used over miles driven</t>
        </is>
      </c>
    </row>
    <row r="5">
      <c r="A5" s="12" t="inlineStr">
        <is>
          <t>Home electricity ($/kWh)</t>
        </is>
      </c>
      <c r="B5" s="14" t="n">
        <v>0.14</v>
      </c>
      <c r="C5" s="10" t="inlineStr">
        <is>
          <t>Owner's vehicle profile</t>
        </is>
      </c>
    </row>
    <row r="6">
      <c r="A6" s="12" t="inlineStr">
        <is>
          <t>Supercharger ($/kWh)</t>
        </is>
      </c>
      <c r="B6" s="14" t="n">
        <v>0.42</v>
      </c>
      <c r="C6" s="10" t="inlineStr">
        <is>
          <t>Owner's vehicle profile</t>
        </is>
      </c>
    </row>
    <row r="7">
      <c r="A7" s="12" t="inlineStr">
        <is>
          <t>Share of charging at Superchargers</t>
        </is>
      </c>
      <c r="B7" s="15" t="n">
        <v>0.25</v>
      </c>
      <c r="C7" s="10" t="inlineStr">
        <is>
          <t>Owner's vehicle profile</t>
        </is>
      </c>
    </row>
    <row r="8">
      <c r="A8" s="12" t="inlineStr">
        <is>
          <t>Blended electricity ($/kWh)</t>
        </is>
      </c>
      <c r="B8" s="16">
        <f>B5*(1-B7)+B6*B7</f>
        <v/>
      </c>
      <c r="C8" s="10" t="inlineStr">
        <is>
          <t>Home and Supercharger rates, weighted by share</t>
        </is>
      </c>
    </row>
    <row r="9">
      <c r="A9" s="12" t="inlineStr">
        <is>
          <t>Wear on the car ($/mile)</t>
        </is>
      </c>
      <c r="B9" s="14" t="n">
        <v>0.2</v>
      </c>
      <c r="C9" s="10" t="inlineStr">
        <is>
          <t>Owner's vehicle profile (depreciation)</t>
        </is>
      </c>
    </row>
    <row r="10">
      <c r="A10" s="12" t="inlineStr">
        <is>
          <t>Tire set ($)</t>
        </is>
      </c>
      <c r="B10" s="17" t="n">
        <v>1100</v>
      </c>
      <c r="C10" s="10" t="inlineStr">
        <is>
          <t>Owner's vehicle profile</t>
        </is>
      </c>
    </row>
    <row r="11">
      <c r="A11" s="12" t="inlineStr">
        <is>
          <t>Tire life (miles)</t>
        </is>
      </c>
      <c r="B11" s="18" t="n">
        <v>40000</v>
      </c>
      <c r="C11" s="10" t="inlineStr">
        <is>
          <t>Owner's vehicle profile</t>
        </is>
      </c>
    </row>
    <row r="12">
      <c r="A12" s="12" t="inlineStr">
        <is>
          <t>Tire wear ($/mile)</t>
        </is>
      </c>
      <c r="B12" s="19">
        <f>B10/B11</f>
        <v/>
      </c>
      <c r="C12" s="10" t="inlineStr">
        <is>
          <t>Tire set over tire life</t>
        </is>
      </c>
    </row>
    <row r="13">
      <c r="A13" s="12" t="inlineStr">
        <is>
          <t>Car cost per mile ($)</t>
        </is>
      </c>
      <c r="B13" s="20">
        <f>B4*B8+B9+B12</f>
        <v/>
      </c>
      <c r="C13" s="10" t="inlineStr">
        <is>
          <t>Electricity plus wear plus tires</t>
        </is>
      </c>
    </row>
    <row r="14">
      <c r="A14" s="12" t="inlineStr">
        <is>
          <t>Tip rate on rides driven</t>
        </is>
      </c>
      <c r="B14" s="21" t="n">
        <v>0.07614296878816004</v>
      </c>
      <c r="C14" s="10" t="inlineStr">
        <is>
          <t>Rides driven this month: tips as a share of the fares on their offer cards</t>
        </is>
      </c>
    </row>
    <row r="15">
      <c r="A15" s="12" t="inlineStr">
        <is>
          <t>Hours on the road</t>
        </is>
      </c>
      <c r="B15" s="22" t="n">
        <v>112.8897222222222</v>
      </c>
      <c r="C15" s="10" t="inlineStr">
        <is>
          <t>Real offers and rides, in stretches; a gap over 30 minutes counts as off</t>
        </is>
      </c>
    </row>
    <row r="16">
      <c r="A16" s="12" t="inlineStr">
        <is>
          <t>Queue window (minutes)</t>
        </is>
      </c>
      <c r="B16" s="23" t="n">
        <v>20</v>
      </c>
      <c r="C16" s="10" t="inlineStr">
        <is>
          <t>A passed-on offer counts only if the car is free within this long</t>
        </is>
      </c>
    </row>
    <row r="18">
      <c r="A18" s="10" t="inlineStr">
        <is>
          <t>Blue values are inputs you can change. Changing them updates the estimated profit of offers that were passed on, and every total on the Rules tab.</t>
        </is>
      </c>
    </row>
    <row r="19">
      <c r="A19" s="10" t="inlineStr">
        <is>
          <t>Which offers each rule takes (Take, Skip, Busy on the Offers tab) comes from the replay in car/rules.py and does not change when you edit these inputs.</t>
        </is>
      </c>
    </row>
    <row r="20">
      <c r="A20" s="10" t="inlineStr">
        <is>
          <t>Synthetic data for a fictional operator, Bayou City Mobility LLC. Advice only: no app accepts or declines rides for you.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9" customWidth="1" min="2" max="2"/>
    <col width="9" customWidth="1" min="3" max="3"/>
    <col width="9" customWidth="1" min="4" max="4"/>
    <col width="9" customWidth="1" min="5" max="5"/>
    <col width="9" customWidth="1" min="6" max="6"/>
    <col width="11" customWidth="1" min="7" max="7"/>
    <col width="10" customWidth="1" min="8" max="8"/>
    <col width="12" customWidth="1" min="9" max="9"/>
    <col width="9" customWidth="1" min="10" max="10"/>
    <col width="12" customWidth="1" min="11" max="11"/>
    <col width="12" customWidth="1" min="12" max="12"/>
    <col width="12" customWidth="1" min="13" max="13"/>
    <col width="13" customWidth="1" min="14" max="14"/>
    <col width="13" customWidth="1" min="15" max="15"/>
    <col width="13" customWidth="1" min="16" max="16"/>
    <col width="13" customWidth="1" min="17" max="17"/>
    <col width="13" customWidth="1" min="18" max="18"/>
    <col width="10" customWidth="1" min="19" max="19"/>
  </cols>
  <sheetData>
    <row r="1" ht="44" customHeight="1">
      <c r="A1" s="3" t="inlineStr">
        <is>
          <t>Offered</t>
        </is>
      </c>
      <c r="B1" s="3" t="inlineStr">
        <is>
          <t>Platform</t>
        </is>
      </c>
      <c r="C1" s="3" t="inlineStr">
        <is>
          <t>Pickup (mi)</t>
        </is>
      </c>
      <c r="D1" s="3" t="inlineStr">
        <is>
          <t>Pickup (min)</t>
        </is>
      </c>
      <c r="E1" s="3" t="inlineStr">
        <is>
          <t>Trip (mi)</t>
        </is>
      </c>
      <c r="F1" s="3" t="inlineStr">
        <is>
          <t>Trip (min)</t>
        </is>
      </c>
      <c r="G1" s="3" t="inlineStr">
        <is>
          <t>Fare on card ($)</t>
        </is>
      </c>
      <c r="H1" s="3" t="inlineStr">
        <is>
          <t>Fare per mile ($)</t>
        </is>
      </c>
      <c r="I1" s="3" t="inlineStr">
        <is>
          <t>Card $/hr after car costs</t>
        </is>
      </c>
      <c r="J1" s="3" t="inlineStr">
        <is>
          <t>You</t>
        </is>
      </c>
      <c r="K1" s="3" t="inlineStr">
        <is>
          <t>Fare + tip, actual ($)</t>
        </is>
      </c>
      <c r="L1" s="3" t="inlineStr">
        <is>
          <t>True profit, actual ($)</t>
        </is>
      </c>
      <c r="M1" s="3" t="inlineStr">
        <is>
          <t>True profit used ($)</t>
        </is>
      </c>
      <c r="N1" s="3" t="inlineStr">
        <is>
          <t>Skip pickups over 3 miles</t>
        </is>
      </c>
      <c r="O1" s="3" t="inlineStr">
        <is>
          <t>Skip pickups over 2 miles</t>
        </is>
      </c>
      <c r="P1" s="3" t="inlineStr">
        <is>
          <t>At least $1 a mile</t>
        </is>
      </c>
      <c r="Q1" s="3" t="inlineStr">
        <is>
          <t>At least $20 an hour after car costs</t>
        </is>
      </c>
      <c r="R1" s="3" t="inlineStr">
        <is>
          <t>Take every offer</t>
        </is>
      </c>
      <c r="S1" s="3" t="inlineStr">
        <is>
          <t>Offer ID</t>
        </is>
      </c>
    </row>
    <row r="2">
      <c r="A2" s="24" t="n">
        <v>46296.40416666667</v>
      </c>
      <c r="B2" s="25" t="inlineStr">
        <is>
          <t>Uber</t>
        </is>
      </c>
      <c r="C2" s="26" t="n">
        <v>1.79</v>
      </c>
      <c r="D2" s="27" t="n">
        <v>6.7</v>
      </c>
      <c r="E2" s="26" t="n">
        <v>16.72</v>
      </c>
      <c r="F2" s="27" t="n">
        <v>44</v>
      </c>
      <c r="G2" s="28" t="n">
        <v>30.12</v>
      </c>
      <c r="H2" s="29">
        <f>IFERROR(G2/(C2+E2),0)</f>
        <v/>
      </c>
      <c r="I2" s="29">
        <f>IFERROR((G2-(C2+E2)*Assumptions!$B$13)/((D2+F2)/60),0)</f>
        <v/>
      </c>
      <c r="J2" s="25" t="inlineStr">
        <is>
          <t>Passed</t>
        </is>
      </c>
      <c r="K2" s="29" t="n"/>
      <c r="L2" s="29" t="n"/>
      <c r="M2" s="29">
        <f>IF(J2="Took",L2,ROUND(G2*(1+Assumptions!$B$14)-(C2+E2)*Assumptions!$B$13,2))</f>
        <v/>
      </c>
      <c r="N2" s="25" t="inlineStr">
        <is>
          <t>Busy</t>
        </is>
      </c>
      <c r="O2" s="25" t="inlineStr">
        <is>
          <t>Take</t>
        </is>
      </c>
      <c r="P2" s="25" t="inlineStr">
        <is>
          <t>Busy</t>
        </is>
      </c>
      <c r="Q2" s="25" t="inlineStr">
        <is>
          <t>Busy</t>
        </is>
      </c>
      <c r="R2" s="25" t="inlineStr">
        <is>
          <t>Busy</t>
        </is>
      </c>
      <c r="S2" s="25" t="inlineStr">
        <is>
          <t>f74c76</t>
        </is>
      </c>
    </row>
    <row r="3">
      <c r="A3" s="30" t="n">
        <v>46296.40555555555</v>
      </c>
      <c r="B3" s="12" t="inlineStr">
        <is>
          <t>Uber</t>
        </is>
      </c>
      <c r="C3" s="31" t="n">
        <v>2.27</v>
      </c>
      <c r="D3" s="22" t="n">
        <v>8.6</v>
      </c>
      <c r="E3" s="31" t="n">
        <v>9.52</v>
      </c>
      <c r="F3" s="22" t="n">
        <v>27.1</v>
      </c>
      <c r="G3" s="32" t="n">
        <v>17.12</v>
      </c>
      <c r="H3" s="33">
        <f>IFERROR(G3/(C3+E3),0)</f>
        <v/>
      </c>
      <c r="I3" s="33">
        <f>IFERROR((G3-(C3+E3)*Assumptions!$B$13)/((D3+F3)/60),0)</f>
        <v/>
      </c>
      <c r="J3" s="12" t="inlineStr">
        <is>
          <t>Took</t>
        </is>
      </c>
      <c r="K3" s="32" t="n">
        <v>27.98</v>
      </c>
      <c r="L3" s="32" t="n">
        <v>24.67</v>
      </c>
      <c r="M3" s="33">
        <f>IF(J3="Took",L3,ROUND(G3*(1+Assumptions!$B$14)-(C3+E3)*Assumptions!$B$13,2))</f>
        <v/>
      </c>
      <c r="N3" s="12" t="inlineStr">
        <is>
          <t>Take</t>
        </is>
      </c>
      <c r="O3" s="12" t="inlineStr">
        <is>
          <t>Skip</t>
        </is>
      </c>
      <c r="P3" s="12" t="inlineStr">
        <is>
          <t>Take</t>
        </is>
      </c>
      <c r="Q3" s="12" t="inlineStr">
        <is>
          <t>Take</t>
        </is>
      </c>
      <c r="R3" s="12" t="inlineStr">
        <is>
          <t>Take</t>
        </is>
      </c>
      <c r="S3" s="12" t="inlineStr">
        <is>
          <t>88ca7f</t>
        </is>
      </c>
    </row>
    <row r="4">
      <c r="A4" s="24" t="n">
        <v>46296.5</v>
      </c>
      <c r="B4" s="25" t="inlineStr">
        <is>
          <t>Lyft</t>
        </is>
      </c>
      <c r="C4" s="26" t="n">
        <v>4.44</v>
      </c>
      <c r="D4" s="27" t="n">
        <v>13.6</v>
      </c>
      <c r="E4" s="26" t="n">
        <v>7.06</v>
      </c>
      <c r="F4" s="27" t="n">
        <v>22.4</v>
      </c>
      <c r="G4" s="28" t="n">
        <v>16.2</v>
      </c>
      <c r="H4" s="29">
        <f>IFERROR(G4/(C4+E4),0)</f>
        <v/>
      </c>
      <c r="I4" s="29">
        <f>IFERROR((G4-(C4+E4)*Assumptions!$B$13)/((D4+F4)/60),0)</f>
        <v/>
      </c>
      <c r="J4" s="25" t="inlineStr">
        <is>
          <t>Passed</t>
        </is>
      </c>
      <c r="K4" s="29" t="n"/>
      <c r="L4" s="29" t="n"/>
      <c r="M4" s="29">
        <f>IF(J4="Took",L4,ROUND(G4*(1+Assumptions!$B$14)-(C4+E4)*Assumptions!$B$13,2))</f>
        <v/>
      </c>
      <c r="N4" s="25" t="inlineStr">
        <is>
          <t>Skip</t>
        </is>
      </c>
      <c r="O4" s="25" t="inlineStr">
        <is>
          <t>Skip</t>
        </is>
      </c>
      <c r="P4" s="25" t="inlineStr">
        <is>
          <t>Busy</t>
        </is>
      </c>
      <c r="Q4" s="25" t="inlineStr">
        <is>
          <t>Busy</t>
        </is>
      </c>
      <c r="R4" s="25" t="inlineStr">
        <is>
          <t>Busy</t>
        </is>
      </c>
      <c r="S4" s="25" t="inlineStr">
        <is>
          <t>d7b99d</t>
        </is>
      </c>
    </row>
    <row r="5">
      <c r="A5" s="30" t="n">
        <v>46296.50763888889</v>
      </c>
      <c r="B5" s="12" t="inlineStr">
        <is>
          <t>Lyft</t>
        </is>
      </c>
      <c r="C5" s="31" t="n">
        <v>1.35</v>
      </c>
      <c r="D5" s="22" t="n">
        <v>5.8</v>
      </c>
      <c r="E5" s="31" t="n">
        <v>12.07</v>
      </c>
      <c r="F5" s="22" t="n">
        <v>30.6</v>
      </c>
      <c r="G5" s="32" t="n">
        <v>41.66</v>
      </c>
      <c r="H5" s="33">
        <f>IFERROR(G5/(C5+E5),0)</f>
        <v/>
      </c>
      <c r="I5" s="33">
        <f>IFERROR((G5-(C5+E5)*Assumptions!$B$13)/((D5+F5)/60),0)</f>
        <v/>
      </c>
      <c r="J5" s="12" t="inlineStr">
        <is>
          <t>Took</t>
        </is>
      </c>
      <c r="K5" s="32" t="n">
        <v>41.66</v>
      </c>
      <c r="L5" s="32" t="n">
        <v>37.92</v>
      </c>
      <c r="M5" s="33">
        <f>IF(J5="Took",L5,ROUND(G5*(1+Assumptions!$B$14)-(C5+E5)*Assumptions!$B$13,2))</f>
        <v/>
      </c>
      <c r="N5" s="12" t="inlineStr">
        <is>
          <t>Take</t>
        </is>
      </c>
      <c r="O5" s="12" t="inlineStr">
        <is>
          <t>Take</t>
        </is>
      </c>
      <c r="P5" s="12" t="inlineStr">
        <is>
          <t>Take</t>
        </is>
      </c>
      <c r="Q5" s="12" t="inlineStr">
        <is>
          <t>Take</t>
        </is>
      </c>
      <c r="R5" s="12" t="inlineStr">
        <is>
          <t>Take</t>
        </is>
      </c>
      <c r="S5" s="12" t="inlineStr">
        <is>
          <t>baf4b8</t>
        </is>
      </c>
    </row>
    <row r="6">
      <c r="A6" s="24" t="n">
        <v>46296.59513888889</v>
      </c>
      <c r="B6" s="25" t="inlineStr">
        <is>
          <t>Uber</t>
        </is>
      </c>
      <c r="C6" s="26" t="n">
        <v>1.25</v>
      </c>
      <c r="D6" s="27" t="n">
        <v>5.3</v>
      </c>
      <c r="E6" s="26" t="n">
        <v>21.85</v>
      </c>
      <c r="F6" s="27" t="n">
        <v>52.1</v>
      </c>
      <c r="G6" s="28" t="n">
        <v>39.51</v>
      </c>
      <c r="H6" s="29">
        <f>IFERROR(G6/(C6+E6),0)</f>
        <v/>
      </c>
      <c r="I6" s="29">
        <f>IFERROR((G6-(C6+E6)*Assumptions!$B$13)/((D6+F6)/60),0)</f>
        <v/>
      </c>
      <c r="J6" s="25" t="inlineStr">
        <is>
          <t>Passed</t>
        </is>
      </c>
      <c r="K6" s="29" t="n"/>
      <c r="L6" s="29" t="n"/>
      <c r="M6" s="29">
        <f>IF(J6="Took",L6,ROUND(G6*(1+Assumptions!$B$14)-(C6+E6)*Assumptions!$B$13,2))</f>
        <v/>
      </c>
      <c r="N6" s="25" t="inlineStr">
        <is>
          <t>Busy</t>
        </is>
      </c>
      <c r="O6" s="25" t="inlineStr">
        <is>
          <t>Busy</t>
        </is>
      </c>
      <c r="P6" s="25" t="inlineStr">
        <is>
          <t>Busy</t>
        </is>
      </c>
      <c r="Q6" s="25" t="inlineStr">
        <is>
          <t>Busy</t>
        </is>
      </c>
      <c r="R6" s="25" t="inlineStr">
        <is>
          <t>Busy</t>
        </is>
      </c>
      <c r="S6" s="25" t="inlineStr">
        <is>
          <t>d6a95d</t>
        </is>
      </c>
    </row>
    <row r="7">
      <c r="A7" s="30" t="n">
        <v>46296.60694444444</v>
      </c>
      <c r="B7" s="12" t="inlineStr">
        <is>
          <t>Uber</t>
        </is>
      </c>
      <c r="C7" s="31" t="n">
        <v>0.74</v>
      </c>
      <c r="D7" s="22" t="n">
        <v>3.6</v>
      </c>
      <c r="E7" s="31" t="n">
        <v>11.66</v>
      </c>
      <c r="F7" s="22" t="n">
        <v>31.5</v>
      </c>
      <c r="G7" s="32" t="n">
        <v>20.58</v>
      </c>
      <c r="H7" s="33">
        <f>IFERROR(G7/(C7+E7),0)</f>
        <v/>
      </c>
      <c r="I7" s="33">
        <f>IFERROR((G7-(C7+E7)*Assumptions!$B$13)/((D7+F7)/60),0)</f>
        <v/>
      </c>
      <c r="J7" s="12" t="inlineStr">
        <is>
          <t>Took</t>
        </is>
      </c>
      <c r="K7" s="32" t="n">
        <v>20.58</v>
      </c>
      <c r="L7" s="32" t="n">
        <v>17.14</v>
      </c>
      <c r="M7" s="33">
        <f>IF(J7="Took",L7,ROUND(G7*(1+Assumptions!$B$14)-(C7+E7)*Assumptions!$B$13,2))</f>
        <v/>
      </c>
      <c r="N7" s="12" t="inlineStr">
        <is>
          <t>Take</t>
        </is>
      </c>
      <c r="O7" s="12" t="inlineStr">
        <is>
          <t>Take</t>
        </is>
      </c>
      <c r="P7" s="12" t="inlineStr">
        <is>
          <t>Take</t>
        </is>
      </c>
      <c r="Q7" s="12" t="inlineStr">
        <is>
          <t>Take</t>
        </is>
      </c>
      <c r="R7" s="12" t="inlineStr">
        <is>
          <t>Take</t>
        </is>
      </c>
      <c r="S7" s="12" t="inlineStr">
        <is>
          <t>3026c5</t>
        </is>
      </c>
    </row>
    <row r="8">
      <c r="A8" s="24" t="n">
        <v>46296.61388888889</v>
      </c>
      <c r="B8" s="25" t="inlineStr">
        <is>
          <t>Uber</t>
        </is>
      </c>
      <c r="C8" s="26" t="n">
        <v>2.06</v>
      </c>
      <c r="D8" s="27" t="n">
        <v>7.3</v>
      </c>
      <c r="E8" s="26" t="n">
        <v>11.98</v>
      </c>
      <c r="F8" s="27" t="n">
        <v>29.7</v>
      </c>
      <c r="G8" s="28" t="n">
        <v>23.41</v>
      </c>
      <c r="H8" s="29">
        <f>IFERROR(G8/(C8+E8),0)</f>
        <v/>
      </c>
      <c r="I8" s="29">
        <f>IFERROR((G8-(C8+E8)*Assumptions!$B$13)/((D8+F8)/60),0)</f>
        <v/>
      </c>
      <c r="J8" s="25" t="inlineStr">
        <is>
          <t>Passed</t>
        </is>
      </c>
      <c r="K8" s="29" t="n"/>
      <c r="L8" s="29" t="n"/>
      <c r="M8" s="29">
        <f>IF(J8="Took",L8,ROUND(G8*(1+Assumptions!$B$14)-(C8+E8)*Assumptions!$B$13,2))</f>
        <v/>
      </c>
      <c r="N8" s="25" t="inlineStr">
        <is>
          <t>Busy</t>
        </is>
      </c>
      <c r="O8" s="25" t="inlineStr">
        <is>
          <t>Skip</t>
        </is>
      </c>
      <c r="P8" s="25" t="inlineStr">
        <is>
          <t>Busy</t>
        </is>
      </c>
      <c r="Q8" s="25" t="inlineStr">
        <is>
          <t>Busy</t>
        </is>
      </c>
      <c r="R8" s="25" t="inlineStr">
        <is>
          <t>Busy</t>
        </is>
      </c>
      <c r="S8" s="25" t="inlineStr">
        <is>
          <t>9fc858</t>
        </is>
      </c>
    </row>
    <row r="9">
      <c r="A9" s="30" t="n">
        <v>46296.625</v>
      </c>
      <c r="B9" s="12" t="inlineStr">
        <is>
          <t>Uber</t>
        </is>
      </c>
      <c r="C9" s="31" t="n">
        <v>1.75</v>
      </c>
      <c r="D9" s="22" t="n">
        <v>7.5</v>
      </c>
      <c r="E9" s="31" t="n">
        <v>8.65</v>
      </c>
      <c r="F9" s="22" t="n">
        <v>28.1</v>
      </c>
      <c r="G9" s="32" t="n">
        <v>8.9</v>
      </c>
      <c r="H9" s="33">
        <f>IFERROR(G9/(C9+E9),0)</f>
        <v/>
      </c>
      <c r="I9" s="33">
        <f>IFERROR((G9-(C9+E9)*Assumptions!$B$13)/((D9+F9)/60),0)</f>
        <v/>
      </c>
      <c r="J9" s="12" t="inlineStr">
        <is>
          <t>Took</t>
        </is>
      </c>
      <c r="K9" s="32" t="n">
        <v>8.9</v>
      </c>
      <c r="L9" s="32" t="n">
        <v>6.02</v>
      </c>
      <c r="M9" s="33">
        <f>IF(J9="Took",L9,ROUND(G9*(1+Assumptions!$B$14)-(C9+E9)*Assumptions!$B$13,2))</f>
        <v/>
      </c>
      <c r="N9" s="12" t="inlineStr">
        <is>
          <t>Take</t>
        </is>
      </c>
      <c r="O9" s="12" t="inlineStr">
        <is>
          <t>Take</t>
        </is>
      </c>
      <c r="P9" s="12" t="inlineStr">
        <is>
          <t>Skip</t>
        </is>
      </c>
      <c r="Q9" s="12" t="inlineStr">
        <is>
          <t>Skip</t>
        </is>
      </c>
      <c r="R9" s="12" t="inlineStr">
        <is>
          <t>Take</t>
        </is>
      </c>
      <c r="S9" s="12" t="inlineStr">
        <is>
          <t>ab2047</t>
        </is>
      </c>
    </row>
    <row r="10">
      <c r="A10" s="24" t="n">
        <v>46296.73819444444</v>
      </c>
      <c r="B10" s="25" t="inlineStr">
        <is>
          <t>Uber</t>
        </is>
      </c>
      <c r="C10" s="26" t="n">
        <v>3.08</v>
      </c>
      <c r="D10" s="27" t="n">
        <v>10</v>
      </c>
      <c r="E10" s="26" t="n">
        <v>5.61</v>
      </c>
      <c r="F10" s="27" t="n">
        <v>17</v>
      </c>
      <c r="G10" s="28" t="n">
        <v>11.8</v>
      </c>
      <c r="H10" s="29">
        <f>IFERROR(G10/(C10+E10),0)</f>
        <v/>
      </c>
      <c r="I10" s="29">
        <f>IFERROR((G10-(C10+E10)*Assumptions!$B$13)/((D10+F10)/60),0)</f>
        <v/>
      </c>
      <c r="J10" s="25" t="inlineStr">
        <is>
          <t>Passed</t>
        </is>
      </c>
      <c r="K10" s="29" t="n"/>
      <c r="L10" s="29" t="n"/>
      <c r="M10" s="29">
        <f>IF(J10="Took",L10,ROUND(G10*(1+Assumptions!$B$14)-(C10+E10)*Assumptions!$B$13,2))</f>
        <v/>
      </c>
      <c r="N10" s="25" t="inlineStr">
        <is>
          <t>Skip</t>
        </is>
      </c>
      <c r="O10" s="25" t="inlineStr">
        <is>
          <t>Skip</t>
        </is>
      </c>
      <c r="P10" s="25" t="inlineStr">
        <is>
          <t>Busy</t>
        </is>
      </c>
      <c r="Q10" s="25" t="inlineStr">
        <is>
          <t>Busy</t>
        </is>
      </c>
      <c r="R10" s="25" t="inlineStr">
        <is>
          <t>Busy</t>
        </is>
      </c>
      <c r="S10" s="25" t="inlineStr">
        <is>
          <t>a3a684</t>
        </is>
      </c>
    </row>
    <row r="11">
      <c r="A11" s="30" t="n">
        <v>46296.74861111111</v>
      </c>
      <c r="B11" s="12" t="inlineStr">
        <is>
          <t>Uber</t>
        </is>
      </c>
      <c r="C11" s="31" t="n">
        <v>0.37</v>
      </c>
      <c r="D11" s="22" t="n">
        <v>3.6</v>
      </c>
      <c r="E11" s="31" t="n">
        <v>8.69</v>
      </c>
      <c r="F11" s="22" t="n">
        <v>24.2</v>
      </c>
      <c r="G11" s="32" t="n">
        <v>17.79</v>
      </c>
      <c r="H11" s="33">
        <f>IFERROR(G11/(C11+E11),0)</f>
        <v/>
      </c>
      <c r="I11" s="33">
        <f>IFERROR((G11-(C11+E11)*Assumptions!$B$13)/((D11+F11)/60),0)</f>
        <v/>
      </c>
      <c r="J11" s="12" t="inlineStr">
        <is>
          <t>Took</t>
        </is>
      </c>
      <c r="K11" s="32" t="n">
        <v>23.19</v>
      </c>
      <c r="L11" s="32" t="n">
        <v>20.64</v>
      </c>
      <c r="M11" s="33">
        <f>IF(J11="Took",L11,ROUND(G11*(1+Assumptions!$B$14)-(C11+E11)*Assumptions!$B$13,2))</f>
        <v/>
      </c>
      <c r="N11" s="12" t="inlineStr">
        <is>
          <t>Take</t>
        </is>
      </c>
      <c r="O11" s="12" t="inlineStr">
        <is>
          <t>Take</t>
        </is>
      </c>
      <c r="P11" s="12" t="inlineStr">
        <is>
          <t>Take</t>
        </is>
      </c>
      <c r="Q11" s="12" t="inlineStr">
        <is>
          <t>Take</t>
        </is>
      </c>
      <c r="R11" s="12" t="inlineStr">
        <is>
          <t>Take</t>
        </is>
      </c>
      <c r="S11" s="12" t="inlineStr">
        <is>
          <t>6b8bbd</t>
        </is>
      </c>
    </row>
    <row r="12">
      <c r="A12" s="24" t="n">
        <v>46296.77708333333</v>
      </c>
      <c r="B12" s="25" t="inlineStr">
        <is>
          <t>Uber</t>
        </is>
      </c>
      <c r="C12" s="26" t="n">
        <v>1.19</v>
      </c>
      <c r="D12" s="27" t="n">
        <v>5.1</v>
      </c>
      <c r="E12" s="26" t="n">
        <v>7.7</v>
      </c>
      <c r="F12" s="27" t="n">
        <v>23.4</v>
      </c>
      <c r="G12" s="28" t="n">
        <v>17.23</v>
      </c>
      <c r="H12" s="29">
        <f>IFERROR(G12/(C12+E12),0)</f>
        <v/>
      </c>
      <c r="I12" s="29">
        <f>IFERROR((G12-(C12+E12)*Assumptions!$B$13)/((D12+F12)/60),0)</f>
        <v/>
      </c>
      <c r="J12" s="25" t="inlineStr">
        <is>
          <t>Passed</t>
        </is>
      </c>
      <c r="K12" s="29" t="n"/>
      <c r="L12" s="29" t="n"/>
      <c r="M12" s="29">
        <f>IF(J12="Took",L12,ROUND(G12*(1+Assumptions!$B$14)-(C12+E12)*Assumptions!$B$13,2))</f>
        <v/>
      </c>
      <c r="N12" s="25" t="inlineStr">
        <is>
          <t>Busy</t>
        </is>
      </c>
      <c r="O12" s="25" t="inlineStr">
        <is>
          <t>Busy</t>
        </is>
      </c>
      <c r="P12" s="25" t="inlineStr">
        <is>
          <t>Busy</t>
        </is>
      </c>
      <c r="Q12" s="25" t="inlineStr">
        <is>
          <t>Busy</t>
        </is>
      </c>
      <c r="R12" s="25" t="inlineStr">
        <is>
          <t>Busy</t>
        </is>
      </c>
      <c r="S12" s="25" t="inlineStr">
        <is>
          <t>e2013e</t>
        </is>
      </c>
    </row>
    <row r="13">
      <c r="A13" s="30" t="n">
        <v>46296.78958333333</v>
      </c>
      <c r="B13" s="12" t="inlineStr">
        <is>
          <t>Uber</t>
        </is>
      </c>
      <c r="C13" s="31" t="n">
        <v>0.82</v>
      </c>
      <c r="D13" s="22" t="n">
        <v>5.1</v>
      </c>
      <c r="E13" s="31" t="n">
        <v>8.16</v>
      </c>
      <c r="F13" s="22" t="n">
        <v>26.6</v>
      </c>
      <c r="G13" s="32" t="n">
        <v>18.84</v>
      </c>
      <c r="H13" s="33">
        <f>IFERROR(G13/(C13+E13),0)</f>
        <v/>
      </c>
      <c r="I13" s="33">
        <f>IFERROR((G13-(C13+E13)*Assumptions!$B$13)/((D13+F13)/60),0)</f>
        <v/>
      </c>
      <c r="J13" s="12" t="inlineStr">
        <is>
          <t>Took</t>
        </is>
      </c>
      <c r="K13" s="32" t="n">
        <v>18.84</v>
      </c>
      <c r="L13" s="32" t="n">
        <v>16.35</v>
      </c>
      <c r="M13" s="33">
        <f>IF(J13="Took",L13,ROUND(G13*(1+Assumptions!$B$14)-(C13+E13)*Assumptions!$B$13,2))</f>
        <v/>
      </c>
      <c r="N13" s="12" t="inlineStr">
        <is>
          <t>Take</t>
        </is>
      </c>
      <c r="O13" s="12" t="inlineStr">
        <is>
          <t>Take</t>
        </is>
      </c>
      <c r="P13" s="12" t="inlineStr">
        <is>
          <t>Take</t>
        </is>
      </c>
      <c r="Q13" s="12" t="inlineStr">
        <is>
          <t>Take</t>
        </is>
      </c>
      <c r="R13" s="12" t="inlineStr">
        <is>
          <t>Take</t>
        </is>
      </c>
      <c r="S13" s="12" t="inlineStr">
        <is>
          <t>114f2a</t>
        </is>
      </c>
    </row>
    <row r="14">
      <c r="A14" s="24" t="n">
        <v>46297.26597222222</v>
      </c>
      <c r="B14" s="25" t="inlineStr">
        <is>
          <t>Uber</t>
        </is>
      </c>
      <c r="C14" s="26" t="n">
        <v>3.99</v>
      </c>
      <c r="D14" s="27" t="n">
        <v>12.4</v>
      </c>
      <c r="E14" s="26" t="n">
        <v>13.19</v>
      </c>
      <c r="F14" s="27" t="n">
        <v>34</v>
      </c>
      <c r="G14" s="28" t="n">
        <v>23.73</v>
      </c>
      <c r="H14" s="29">
        <f>IFERROR(G14/(C14+E14),0)</f>
        <v/>
      </c>
      <c r="I14" s="29">
        <f>IFERROR((G14-(C14+E14)*Assumptions!$B$13)/((D14+F14)/60),0)</f>
        <v/>
      </c>
      <c r="J14" s="25" t="inlineStr">
        <is>
          <t>Passed</t>
        </is>
      </c>
      <c r="K14" s="29" t="n"/>
      <c r="L14" s="29" t="n"/>
      <c r="M14" s="29">
        <f>IF(J14="Took",L14,ROUND(G14*(1+Assumptions!$B$14)-(C14+E14)*Assumptions!$B$13,2))</f>
        <v/>
      </c>
      <c r="N14" s="25" t="inlineStr">
        <is>
          <t>Skip</t>
        </is>
      </c>
      <c r="O14" s="25" t="inlineStr">
        <is>
          <t>Skip</t>
        </is>
      </c>
      <c r="P14" s="25" t="inlineStr">
        <is>
          <t>Busy</t>
        </is>
      </c>
      <c r="Q14" s="25" t="inlineStr">
        <is>
          <t>Busy</t>
        </is>
      </c>
      <c r="R14" s="25" t="inlineStr">
        <is>
          <t>Busy</t>
        </is>
      </c>
      <c r="S14" s="25" t="inlineStr">
        <is>
          <t>1bec76</t>
        </is>
      </c>
    </row>
    <row r="15">
      <c r="A15" s="30" t="n">
        <v>46297.27152777778</v>
      </c>
      <c r="B15" s="12" t="inlineStr">
        <is>
          <t>Uber</t>
        </is>
      </c>
      <c r="C15" s="31" t="n">
        <v>1.94</v>
      </c>
      <c r="D15" s="22" t="n">
        <v>7.5</v>
      </c>
      <c r="E15" s="31" t="n">
        <v>7.97</v>
      </c>
      <c r="F15" s="22" t="n">
        <v>23.8</v>
      </c>
      <c r="G15" s="32" t="n">
        <v>16.45</v>
      </c>
      <c r="H15" s="33">
        <f>IFERROR(G15/(C15+E15),0)</f>
        <v/>
      </c>
      <c r="I15" s="33">
        <f>IFERROR((G15-(C15+E15)*Assumptions!$B$13)/((D15+F15)/60),0)</f>
        <v/>
      </c>
      <c r="J15" s="12" t="inlineStr">
        <is>
          <t>Took</t>
        </is>
      </c>
      <c r="K15" s="32" t="n">
        <v>16.45</v>
      </c>
      <c r="L15" s="32" t="n">
        <v>13.67</v>
      </c>
      <c r="M15" s="33">
        <f>IF(J15="Took",L15,ROUND(G15*(1+Assumptions!$B$14)-(C15+E15)*Assumptions!$B$13,2))</f>
        <v/>
      </c>
      <c r="N15" s="12" t="inlineStr">
        <is>
          <t>Take</t>
        </is>
      </c>
      <c r="O15" s="12" t="inlineStr">
        <is>
          <t>Take</t>
        </is>
      </c>
      <c r="P15" s="12" t="inlineStr">
        <is>
          <t>Take</t>
        </is>
      </c>
      <c r="Q15" s="12" t="inlineStr">
        <is>
          <t>Take</t>
        </is>
      </c>
      <c r="R15" s="12" t="inlineStr">
        <is>
          <t>Take</t>
        </is>
      </c>
      <c r="S15" s="12" t="inlineStr">
        <is>
          <t>a620b2</t>
        </is>
      </c>
    </row>
    <row r="16">
      <c r="A16" s="24" t="n">
        <v>46297.43680555555</v>
      </c>
      <c r="B16" s="25" t="inlineStr">
        <is>
          <t>Lyft</t>
        </is>
      </c>
      <c r="C16" s="26" t="n">
        <v>4.52</v>
      </c>
      <c r="D16" s="27" t="n">
        <v>13.8</v>
      </c>
      <c r="E16" s="26" t="n">
        <v>17.45</v>
      </c>
      <c r="F16" s="27" t="n">
        <v>42.1</v>
      </c>
      <c r="G16" s="28" t="n">
        <v>30.42</v>
      </c>
      <c r="H16" s="29">
        <f>IFERROR(G16/(C16+E16),0)</f>
        <v/>
      </c>
      <c r="I16" s="29">
        <f>IFERROR((G16-(C16+E16)*Assumptions!$B$13)/((D16+F16)/60),0)</f>
        <v/>
      </c>
      <c r="J16" s="25" t="inlineStr">
        <is>
          <t>Passed</t>
        </is>
      </c>
      <c r="K16" s="29" t="n"/>
      <c r="L16" s="29" t="n"/>
      <c r="M16" s="29">
        <f>IF(J16="Took",L16,ROUND(G16*(1+Assumptions!$B$14)-(C16+E16)*Assumptions!$B$13,2))</f>
        <v/>
      </c>
      <c r="N16" s="25" t="inlineStr">
        <is>
          <t>Skip</t>
        </is>
      </c>
      <c r="O16" s="25" t="inlineStr">
        <is>
          <t>Skip</t>
        </is>
      </c>
      <c r="P16" s="25" t="inlineStr">
        <is>
          <t>Busy</t>
        </is>
      </c>
      <c r="Q16" s="25" t="inlineStr">
        <is>
          <t>Busy</t>
        </is>
      </c>
      <c r="R16" s="25" t="inlineStr">
        <is>
          <t>Busy</t>
        </is>
      </c>
      <c r="S16" s="25" t="inlineStr">
        <is>
          <t>991f83</t>
        </is>
      </c>
    </row>
    <row r="17">
      <c r="A17" s="30" t="n">
        <v>46297.43958333333</v>
      </c>
      <c r="B17" s="12" t="inlineStr">
        <is>
          <t>Uber</t>
        </is>
      </c>
      <c r="C17" s="31" t="n">
        <v>1.41</v>
      </c>
      <c r="D17" s="22" t="n">
        <v>6.3</v>
      </c>
      <c r="E17" s="31" t="n">
        <v>8.06</v>
      </c>
      <c r="F17" s="22" t="n">
        <v>21.3</v>
      </c>
      <c r="G17" s="32" t="n">
        <v>27.12</v>
      </c>
      <c r="H17" s="33">
        <f>IFERROR(G17/(C17+E17),0)</f>
        <v/>
      </c>
      <c r="I17" s="33">
        <f>IFERROR((G17-(C17+E17)*Assumptions!$B$13)/((D17+F17)/60),0)</f>
        <v/>
      </c>
      <c r="J17" s="12" t="inlineStr">
        <is>
          <t>Took</t>
        </is>
      </c>
      <c r="K17" s="32" t="n">
        <v>27.12</v>
      </c>
      <c r="L17" s="32" t="n">
        <v>24.46</v>
      </c>
      <c r="M17" s="33">
        <f>IF(J17="Took",L17,ROUND(G17*(1+Assumptions!$B$14)-(C17+E17)*Assumptions!$B$13,2))</f>
        <v/>
      </c>
      <c r="N17" s="12" t="inlineStr">
        <is>
          <t>Take</t>
        </is>
      </c>
      <c r="O17" s="12" t="inlineStr">
        <is>
          <t>Take</t>
        </is>
      </c>
      <c r="P17" s="12" t="inlineStr">
        <is>
          <t>Take</t>
        </is>
      </c>
      <c r="Q17" s="12" t="inlineStr">
        <is>
          <t>Take</t>
        </is>
      </c>
      <c r="R17" s="12" t="inlineStr">
        <is>
          <t>Take</t>
        </is>
      </c>
      <c r="S17" s="12" t="inlineStr">
        <is>
          <t>69493b</t>
        </is>
      </c>
    </row>
    <row r="18">
      <c r="A18" s="24" t="n">
        <v>46297.50069444445</v>
      </c>
      <c r="B18" s="25" t="inlineStr">
        <is>
          <t>Uber</t>
        </is>
      </c>
      <c r="C18" s="26" t="n">
        <v>5.73</v>
      </c>
      <c r="D18" s="27" t="n">
        <v>16.9</v>
      </c>
      <c r="E18" s="26" t="n">
        <v>14.74</v>
      </c>
      <c r="F18" s="27" t="n">
        <v>39.6</v>
      </c>
      <c r="G18" s="28" t="n">
        <v>28.3</v>
      </c>
      <c r="H18" s="29">
        <f>IFERROR(G18/(C18+E18),0)</f>
        <v/>
      </c>
      <c r="I18" s="29">
        <f>IFERROR((G18-(C18+E18)*Assumptions!$B$13)/((D18+F18)/60),0)</f>
        <v/>
      </c>
      <c r="J18" s="25" t="inlineStr">
        <is>
          <t>Passed</t>
        </is>
      </c>
      <c r="K18" s="29" t="n"/>
      <c r="L18" s="29" t="n"/>
      <c r="M18" s="29">
        <f>IF(J18="Took",L18,ROUND(G18*(1+Assumptions!$B$14)-(C18+E18)*Assumptions!$B$13,2))</f>
        <v/>
      </c>
      <c r="N18" s="25" t="inlineStr">
        <is>
          <t>Skip</t>
        </is>
      </c>
      <c r="O18" s="25" t="inlineStr">
        <is>
          <t>Skip</t>
        </is>
      </c>
      <c r="P18" s="25" t="inlineStr">
        <is>
          <t>Busy</t>
        </is>
      </c>
      <c r="Q18" s="25" t="inlineStr">
        <is>
          <t>Busy</t>
        </is>
      </c>
      <c r="R18" s="25" t="inlineStr">
        <is>
          <t>Busy</t>
        </is>
      </c>
      <c r="S18" s="25" t="inlineStr">
        <is>
          <t>4ae5b9</t>
        </is>
      </c>
    </row>
    <row r="19">
      <c r="A19" s="30" t="n">
        <v>46297.50972222222</v>
      </c>
      <c r="B19" s="12" t="inlineStr">
        <is>
          <t>Uber</t>
        </is>
      </c>
      <c r="C19" s="31" t="n">
        <v>0.67</v>
      </c>
      <c r="D19" s="22" t="n">
        <v>3.5</v>
      </c>
      <c r="E19" s="31" t="n">
        <v>25.62</v>
      </c>
      <c r="F19" s="22" t="n">
        <v>60.5</v>
      </c>
      <c r="G19" s="32" t="n">
        <v>56.87</v>
      </c>
      <c r="H19" s="33">
        <f>IFERROR(G19/(C19+E19),0)</f>
        <v/>
      </c>
      <c r="I19" s="33">
        <f>IFERROR((G19-(C19+E19)*Assumptions!$B$13)/((D19+F19)/60),0)</f>
        <v/>
      </c>
      <c r="J19" s="12" t="inlineStr">
        <is>
          <t>Took</t>
        </is>
      </c>
      <c r="K19" s="32" t="n">
        <v>56.87</v>
      </c>
      <c r="L19" s="32" t="n">
        <v>49.46</v>
      </c>
      <c r="M19" s="33">
        <f>IF(J19="Took",L19,ROUND(G19*(1+Assumptions!$B$14)-(C19+E19)*Assumptions!$B$13,2))</f>
        <v/>
      </c>
      <c r="N19" s="12" t="inlineStr">
        <is>
          <t>Take</t>
        </is>
      </c>
      <c r="O19" s="12" t="inlineStr">
        <is>
          <t>Take</t>
        </is>
      </c>
      <c r="P19" s="12" t="inlineStr">
        <is>
          <t>Take</t>
        </is>
      </c>
      <c r="Q19" s="12" t="inlineStr">
        <is>
          <t>Take</t>
        </is>
      </c>
      <c r="R19" s="12" t="inlineStr">
        <is>
          <t>Take</t>
        </is>
      </c>
      <c r="S19" s="12" t="inlineStr">
        <is>
          <t>28895a</t>
        </is>
      </c>
    </row>
    <row r="20">
      <c r="A20" s="24" t="n">
        <v>46297.61805555555</v>
      </c>
      <c r="B20" s="25" t="inlineStr">
        <is>
          <t>Uber</t>
        </is>
      </c>
      <c r="C20" s="26" t="n">
        <v>2.84</v>
      </c>
      <c r="D20" s="27" t="n">
        <v>9.4</v>
      </c>
      <c r="E20" s="26" t="n">
        <v>2.61</v>
      </c>
      <c r="F20" s="27" t="n">
        <v>10.3</v>
      </c>
      <c r="G20" s="28" t="n">
        <v>8.609999999999999</v>
      </c>
      <c r="H20" s="29">
        <f>IFERROR(G20/(C20+E20),0)</f>
        <v/>
      </c>
      <c r="I20" s="29">
        <f>IFERROR((G20-(C20+E20)*Assumptions!$B$13)/((D20+F20)/60),0)</f>
        <v/>
      </c>
      <c r="J20" s="25" t="inlineStr">
        <is>
          <t>Passed</t>
        </is>
      </c>
      <c r="K20" s="29" t="n"/>
      <c r="L20" s="29" t="n"/>
      <c r="M20" s="29">
        <f>IF(J20="Took",L20,ROUND(G20*(1+Assumptions!$B$14)-(C20+E20)*Assumptions!$B$13,2))</f>
        <v/>
      </c>
      <c r="N20" s="25" t="inlineStr">
        <is>
          <t>Busy</t>
        </is>
      </c>
      <c r="O20" s="25" t="inlineStr">
        <is>
          <t>Skip</t>
        </is>
      </c>
      <c r="P20" s="25" t="inlineStr">
        <is>
          <t>Busy</t>
        </is>
      </c>
      <c r="Q20" s="25" t="inlineStr">
        <is>
          <t>Busy</t>
        </is>
      </c>
      <c r="R20" s="25" t="inlineStr">
        <is>
          <t>Busy</t>
        </is>
      </c>
      <c r="S20" s="25" t="inlineStr">
        <is>
          <t>57e76b</t>
        </is>
      </c>
    </row>
    <row r="21">
      <c r="A21" s="30" t="n">
        <v>46297.62222222222</v>
      </c>
      <c r="B21" s="12" t="inlineStr">
        <is>
          <t>Uber</t>
        </is>
      </c>
      <c r="C21" s="31" t="n">
        <v>1.55</v>
      </c>
      <c r="D21" s="22" t="n">
        <v>6.9</v>
      </c>
      <c r="E21" s="31" t="n">
        <v>7.39</v>
      </c>
      <c r="F21" s="22" t="n">
        <v>19.4</v>
      </c>
      <c r="G21" s="32" t="n">
        <v>22.7</v>
      </c>
      <c r="H21" s="33">
        <f>IFERROR(G21/(C21+E21),0)</f>
        <v/>
      </c>
      <c r="I21" s="33">
        <f>IFERROR((G21-(C21+E21)*Assumptions!$B$13)/((D21+F21)/60),0)</f>
        <v/>
      </c>
      <c r="J21" s="12" t="inlineStr">
        <is>
          <t>Took</t>
        </is>
      </c>
      <c r="K21" s="32" t="n">
        <v>22.7</v>
      </c>
      <c r="L21" s="32" t="n">
        <v>20.17</v>
      </c>
      <c r="M21" s="33">
        <f>IF(J21="Took",L21,ROUND(G21*(1+Assumptions!$B$14)-(C21+E21)*Assumptions!$B$13,2))</f>
        <v/>
      </c>
      <c r="N21" s="12" t="inlineStr">
        <is>
          <t>Take</t>
        </is>
      </c>
      <c r="O21" s="12" t="inlineStr">
        <is>
          <t>Take</t>
        </is>
      </c>
      <c r="P21" s="12" t="inlineStr">
        <is>
          <t>Take</t>
        </is>
      </c>
      <c r="Q21" s="12" t="inlineStr">
        <is>
          <t>Take</t>
        </is>
      </c>
      <c r="R21" s="12" t="inlineStr">
        <is>
          <t>Take</t>
        </is>
      </c>
      <c r="S21" s="12" t="inlineStr">
        <is>
          <t>3b2f8f</t>
        </is>
      </c>
    </row>
    <row r="22">
      <c r="A22" s="24" t="n">
        <v>46297.63819444444</v>
      </c>
      <c r="B22" s="25" t="inlineStr">
        <is>
          <t>Uber</t>
        </is>
      </c>
      <c r="C22" s="26" t="n">
        <v>1.56</v>
      </c>
      <c r="D22" s="27" t="n">
        <v>6.4</v>
      </c>
      <c r="E22" s="26" t="n">
        <v>21.11</v>
      </c>
      <c r="F22" s="27" t="n">
        <v>55.9</v>
      </c>
      <c r="G22" s="28" t="n">
        <v>50.63</v>
      </c>
      <c r="H22" s="29">
        <f>IFERROR(G22/(C22+E22),0)</f>
        <v/>
      </c>
      <c r="I22" s="29">
        <f>IFERROR((G22-(C22+E22)*Assumptions!$B$13)/((D22+F22)/60),0)</f>
        <v/>
      </c>
      <c r="J22" s="25" t="inlineStr">
        <is>
          <t>Took</t>
        </is>
      </c>
      <c r="K22" s="28" t="n">
        <v>50.63</v>
      </c>
      <c r="L22" s="28" t="n">
        <v>44.3</v>
      </c>
      <c r="M22" s="29">
        <f>IF(J22="Took",L22,ROUND(G22*(1+Assumptions!$B$14)-(C22+E22)*Assumptions!$B$13,2))</f>
        <v/>
      </c>
      <c r="N22" s="25" t="inlineStr">
        <is>
          <t>Take</t>
        </is>
      </c>
      <c r="O22" s="25" t="inlineStr">
        <is>
          <t>Take</t>
        </is>
      </c>
      <c r="P22" s="25" t="inlineStr">
        <is>
          <t>Take</t>
        </is>
      </c>
      <c r="Q22" s="25" t="inlineStr">
        <is>
          <t>Take</t>
        </is>
      </c>
      <c r="R22" s="25" t="inlineStr">
        <is>
          <t>Take</t>
        </is>
      </c>
      <c r="S22" s="25" t="inlineStr">
        <is>
          <t>bb9e55</t>
        </is>
      </c>
    </row>
    <row r="23">
      <c r="A23" s="30" t="n">
        <v>46297.63888888889</v>
      </c>
      <c r="B23" s="12" t="inlineStr">
        <is>
          <t>Uber</t>
        </is>
      </c>
      <c r="C23" s="31" t="n">
        <v>3.01</v>
      </c>
      <c r="D23" s="22" t="n">
        <v>9.800000000000001</v>
      </c>
      <c r="E23" s="31" t="n">
        <v>16.45</v>
      </c>
      <c r="F23" s="22" t="n">
        <v>40.4</v>
      </c>
      <c r="G23" s="32" t="n">
        <v>31.12</v>
      </c>
      <c r="H23" s="33">
        <f>IFERROR(G23/(C23+E23),0)</f>
        <v/>
      </c>
      <c r="I23" s="33">
        <f>IFERROR((G23-(C23+E23)*Assumptions!$B$13)/((D23+F23)/60),0)</f>
        <v/>
      </c>
      <c r="J23" s="12" t="inlineStr">
        <is>
          <t>Passed</t>
        </is>
      </c>
      <c r="K23" s="33" t="n"/>
      <c r="L23" s="33" t="n"/>
      <c r="M23" s="33">
        <f>IF(J23="Took",L23,ROUND(G23*(1+Assumptions!$B$14)-(C23+E23)*Assumptions!$B$13,2))</f>
        <v/>
      </c>
      <c r="N23" s="12" t="inlineStr">
        <is>
          <t>Skip</t>
        </is>
      </c>
      <c r="O23" s="12" t="inlineStr">
        <is>
          <t>Skip</t>
        </is>
      </c>
      <c r="P23" s="12" t="inlineStr">
        <is>
          <t>Busy</t>
        </is>
      </c>
      <c r="Q23" s="12" t="inlineStr">
        <is>
          <t>Busy</t>
        </is>
      </c>
      <c r="R23" s="12" t="inlineStr">
        <is>
          <t>Busy</t>
        </is>
      </c>
      <c r="S23" s="12" t="inlineStr">
        <is>
          <t>61be3f</t>
        </is>
      </c>
    </row>
    <row r="24">
      <c r="A24" s="24" t="n">
        <v>46297.64652777778</v>
      </c>
      <c r="B24" s="25" t="inlineStr">
        <is>
          <t>Uber</t>
        </is>
      </c>
      <c r="C24" s="26" t="n">
        <v>3.21</v>
      </c>
      <c r="D24" s="27" t="n">
        <v>11</v>
      </c>
      <c r="E24" s="26" t="n">
        <v>3.27</v>
      </c>
      <c r="F24" s="27" t="n">
        <v>16.4</v>
      </c>
      <c r="G24" s="28" t="n">
        <v>17.92</v>
      </c>
      <c r="H24" s="29">
        <f>IFERROR(G24/(C24+E24),0)</f>
        <v/>
      </c>
      <c r="I24" s="29">
        <f>IFERROR((G24-(C24+E24)*Assumptions!$B$13)/((D24+F24)/60),0)</f>
        <v/>
      </c>
      <c r="J24" s="25" t="inlineStr">
        <is>
          <t>Took</t>
        </is>
      </c>
      <c r="K24" s="28" t="n">
        <v>20.06</v>
      </c>
      <c r="L24" s="28" t="n">
        <v>18.25</v>
      </c>
      <c r="M24" s="29">
        <f>IF(J24="Took",L24,ROUND(G24*(1+Assumptions!$B$14)-(C24+E24)*Assumptions!$B$13,2))</f>
        <v/>
      </c>
      <c r="N24" s="25" t="inlineStr">
        <is>
          <t>Skip</t>
        </is>
      </c>
      <c r="O24" s="25" t="inlineStr">
        <is>
          <t>Skip</t>
        </is>
      </c>
      <c r="P24" s="25" t="inlineStr">
        <is>
          <t>Take</t>
        </is>
      </c>
      <c r="Q24" s="25" t="inlineStr">
        <is>
          <t>Take</t>
        </is>
      </c>
      <c r="R24" s="25" t="inlineStr">
        <is>
          <t>Take</t>
        </is>
      </c>
      <c r="S24" s="25" t="inlineStr">
        <is>
          <t>ce9bca</t>
        </is>
      </c>
    </row>
    <row r="25">
      <c r="A25" s="30" t="n">
        <v>46297.86805555555</v>
      </c>
      <c r="B25" s="12" t="inlineStr">
        <is>
          <t>Uber</t>
        </is>
      </c>
      <c r="C25" s="31" t="n">
        <v>1.1</v>
      </c>
      <c r="D25" s="22" t="n">
        <v>4.2</v>
      </c>
      <c r="E25" s="31" t="n">
        <v>7.6</v>
      </c>
      <c r="F25" s="22" t="n">
        <v>25.1</v>
      </c>
      <c r="G25" s="32" t="n">
        <v>11.2</v>
      </c>
      <c r="H25" s="33">
        <f>IFERROR(G25/(C25+E25),0)</f>
        <v/>
      </c>
      <c r="I25" s="33">
        <f>IFERROR((G25-(C25+E25)*Assumptions!$B$13)/((D25+F25)/60),0)</f>
        <v/>
      </c>
      <c r="J25" s="12" t="inlineStr">
        <is>
          <t>Took</t>
        </is>
      </c>
      <c r="K25" s="32" t="n">
        <v>11.2</v>
      </c>
      <c r="L25" s="32" t="n">
        <v>8.789999999999999</v>
      </c>
      <c r="M25" s="33">
        <f>IF(J25="Took",L25,ROUND(G25*(1+Assumptions!$B$14)-(C25+E25)*Assumptions!$B$13,2))</f>
        <v/>
      </c>
      <c r="N25" s="12" t="inlineStr">
        <is>
          <t>Take</t>
        </is>
      </c>
      <c r="O25" s="12" t="inlineStr">
        <is>
          <t>Take</t>
        </is>
      </c>
      <c r="P25" s="12" t="inlineStr">
        <is>
          <t>Take</t>
        </is>
      </c>
      <c r="Q25" s="12" t="inlineStr">
        <is>
          <t>Skip</t>
        </is>
      </c>
      <c r="R25" s="12" t="inlineStr">
        <is>
          <t>Take</t>
        </is>
      </c>
      <c r="S25" s="12" t="inlineStr">
        <is>
          <t>474af1</t>
        </is>
      </c>
    </row>
    <row r="26">
      <c r="A26" s="24" t="n">
        <v>46299.60138888889</v>
      </c>
      <c r="B26" s="25" t="inlineStr">
        <is>
          <t>Uber</t>
        </is>
      </c>
      <c r="C26" s="26" t="n">
        <v>5.3</v>
      </c>
      <c r="D26" s="27" t="n">
        <v>15.8</v>
      </c>
      <c r="E26" s="26" t="n">
        <v>13.31</v>
      </c>
      <c r="F26" s="27" t="n">
        <v>33.6</v>
      </c>
      <c r="G26" s="28" t="n">
        <v>26.64</v>
      </c>
      <c r="H26" s="29">
        <f>IFERROR(G26/(C26+E26),0)</f>
        <v/>
      </c>
      <c r="I26" s="29">
        <f>IFERROR((G26-(C26+E26)*Assumptions!$B$13)/((D26+F26)/60),0)</f>
        <v/>
      </c>
      <c r="J26" s="25" t="inlineStr">
        <is>
          <t>Passed</t>
        </is>
      </c>
      <c r="K26" s="29" t="n"/>
      <c r="L26" s="29" t="n"/>
      <c r="M26" s="29">
        <f>IF(J26="Took",L26,ROUND(G26*(1+Assumptions!$B$14)-(C26+E26)*Assumptions!$B$13,2))</f>
        <v/>
      </c>
      <c r="N26" s="25" t="inlineStr">
        <is>
          <t>Skip</t>
        </is>
      </c>
      <c r="O26" s="25" t="inlineStr">
        <is>
          <t>Skip</t>
        </is>
      </c>
      <c r="P26" s="25" t="inlineStr">
        <is>
          <t>Take</t>
        </is>
      </c>
      <c r="Q26" s="25" t="inlineStr">
        <is>
          <t>Take</t>
        </is>
      </c>
      <c r="R26" s="25" t="inlineStr">
        <is>
          <t>Busy</t>
        </is>
      </c>
      <c r="S26" s="25" t="inlineStr">
        <is>
          <t>6edf7e</t>
        </is>
      </c>
    </row>
    <row r="27">
      <c r="A27" s="30" t="n">
        <v>46299.60277777778</v>
      </c>
      <c r="B27" s="12" t="inlineStr">
        <is>
          <t>Lyft</t>
        </is>
      </c>
      <c r="C27" s="31" t="n">
        <v>3.54</v>
      </c>
      <c r="D27" s="22" t="n">
        <v>11.2</v>
      </c>
      <c r="E27" s="31" t="n">
        <v>14.25</v>
      </c>
      <c r="F27" s="22" t="n">
        <v>39.3</v>
      </c>
      <c r="G27" s="32" t="n">
        <v>26.64</v>
      </c>
      <c r="H27" s="33">
        <f>IFERROR(G27/(C27+E27),0)</f>
        <v/>
      </c>
      <c r="I27" s="33">
        <f>IFERROR((G27-(C27+E27)*Assumptions!$B$13)/((D27+F27)/60),0)</f>
        <v/>
      </c>
      <c r="J27" s="12" t="inlineStr">
        <is>
          <t>Passed</t>
        </is>
      </c>
      <c r="K27" s="33" t="n"/>
      <c r="L27" s="33" t="n"/>
      <c r="M27" s="33">
        <f>IF(J27="Took",L27,ROUND(G27*(1+Assumptions!$B$14)-(C27+E27)*Assumptions!$B$13,2))</f>
        <v/>
      </c>
      <c r="N27" s="12" t="inlineStr">
        <is>
          <t>Skip</t>
        </is>
      </c>
      <c r="O27" s="12" t="inlineStr">
        <is>
          <t>Skip</t>
        </is>
      </c>
      <c r="P27" s="12" t="inlineStr">
        <is>
          <t>Busy</t>
        </is>
      </c>
      <c r="Q27" s="12" t="inlineStr">
        <is>
          <t>Busy</t>
        </is>
      </c>
      <c r="R27" s="12" t="inlineStr">
        <is>
          <t>Busy</t>
        </is>
      </c>
      <c r="S27" s="12" t="inlineStr">
        <is>
          <t>ed4bd3</t>
        </is>
      </c>
    </row>
    <row r="28">
      <c r="A28" s="24" t="n">
        <v>46299.60694444444</v>
      </c>
      <c r="B28" s="25" t="inlineStr">
        <is>
          <t>Lyft</t>
        </is>
      </c>
      <c r="C28" s="26" t="n">
        <v>1.33</v>
      </c>
      <c r="D28" s="27" t="n">
        <v>4.8</v>
      </c>
      <c r="E28" s="26" t="n">
        <v>25.77</v>
      </c>
      <c r="F28" s="27" t="n">
        <v>61.4</v>
      </c>
      <c r="G28" s="28" t="n">
        <v>12.03</v>
      </c>
      <c r="H28" s="29">
        <f>IFERROR(G28/(C28+E28),0)</f>
        <v/>
      </c>
      <c r="I28" s="29">
        <f>IFERROR((G28-(C28+E28)*Assumptions!$B$13)/((D28+F28)/60),0)</f>
        <v/>
      </c>
      <c r="J28" s="25" t="inlineStr">
        <is>
          <t>Took</t>
        </is>
      </c>
      <c r="K28" s="28" t="n">
        <v>12.03</v>
      </c>
      <c r="L28" s="28" t="n">
        <v>4.51</v>
      </c>
      <c r="M28" s="29">
        <f>IF(J28="Took",L28,ROUND(G28*(1+Assumptions!$B$14)-(C28+E28)*Assumptions!$B$13,2))</f>
        <v/>
      </c>
      <c r="N28" s="25" t="inlineStr">
        <is>
          <t>Take</t>
        </is>
      </c>
      <c r="O28" s="25" t="inlineStr">
        <is>
          <t>Take</t>
        </is>
      </c>
      <c r="P28" s="25" t="inlineStr">
        <is>
          <t>Skip</t>
        </is>
      </c>
      <c r="Q28" s="25" t="inlineStr">
        <is>
          <t>Skip</t>
        </is>
      </c>
      <c r="R28" s="25" t="inlineStr">
        <is>
          <t>Take</t>
        </is>
      </c>
      <c r="S28" s="25" t="inlineStr">
        <is>
          <t>09bfcb</t>
        </is>
      </c>
    </row>
    <row r="29">
      <c r="A29" s="30" t="n">
        <v>46299.61180555556</v>
      </c>
      <c r="B29" s="12" t="inlineStr">
        <is>
          <t>Uber</t>
        </is>
      </c>
      <c r="C29" s="31" t="n">
        <v>2.25</v>
      </c>
      <c r="D29" s="22" t="n">
        <v>7.7</v>
      </c>
      <c r="E29" s="31" t="n">
        <v>4.06</v>
      </c>
      <c r="F29" s="22" t="n">
        <v>16.7</v>
      </c>
      <c r="G29" s="32" t="n">
        <v>12.54</v>
      </c>
      <c r="H29" s="33">
        <f>IFERROR(G29/(C29+E29),0)</f>
        <v/>
      </c>
      <c r="I29" s="33">
        <f>IFERROR((G29-(C29+E29)*Assumptions!$B$13)/((D29+F29)/60),0)</f>
        <v/>
      </c>
      <c r="J29" s="12" t="inlineStr">
        <is>
          <t>Took</t>
        </is>
      </c>
      <c r="K29" s="32" t="n">
        <v>12.54</v>
      </c>
      <c r="L29" s="32" t="n">
        <v>10.78</v>
      </c>
      <c r="M29" s="33">
        <f>IF(J29="Took",L29,ROUND(G29*(1+Assumptions!$B$14)-(C29+E29)*Assumptions!$B$13,2))</f>
        <v/>
      </c>
      <c r="N29" s="12" t="inlineStr">
        <is>
          <t>Take</t>
        </is>
      </c>
      <c r="O29" s="12" t="inlineStr">
        <is>
          <t>Skip</t>
        </is>
      </c>
      <c r="P29" s="12" t="inlineStr">
        <is>
          <t>Take</t>
        </is>
      </c>
      <c r="Q29" s="12" t="inlineStr">
        <is>
          <t>Take</t>
        </is>
      </c>
      <c r="R29" s="12" t="inlineStr">
        <is>
          <t>Take</t>
        </is>
      </c>
      <c r="S29" s="12" t="inlineStr">
        <is>
          <t>f1df54</t>
        </is>
      </c>
    </row>
    <row r="30">
      <c r="A30" s="24" t="n">
        <v>46299.61875</v>
      </c>
      <c r="B30" s="25" t="inlineStr">
        <is>
          <t>Uber</t>
        </is>
      </c>
      <c r="C30" s="26" t="n">
        <v>1.76</v>
      </c>
      <c r="D30" s="27" t="n">
        <v>5.6</v>
      </c>
      <c r="E30" s="26" t="n">
        <v>25.75</v>
      </c>
      <c r="F30" s="27" t="n">
        <v>62.5</v>
      </c>
      <c r="G30" s="28" t="n">
        <v>56.8</v>
      </c>
      <c r="H30" s="29">
        <f>IFERROR(G30/(C30+E30),0)</f>
        <v/>
      </c>
      <c r="I30" s="29">
        <f>IFERROR((G30-(C30+E30)*Assumptions!$B$13)/((D30+F30)/60),0)</f>
        <v/>
      </c>
      <c r="J30" s="25" t="inlineStr">
        <is>
          <t>Took</t>
        </is>
      </c>
      <c r="K30" s="28" t="n">
        <v>56.8</v>
      </c>
      <c r="L30" s="28" t="n">
        <v>49.1</v>
      </c>
      <c r="M30" s="29">
        <f>IF(J30="Took",L30,ROUND(G30*(1+Assumptions!$B$14)-(C30+E30)*Assumptions!$B$13,2))</f>
        <v/>
      </c>
      <c r="N30" s="25" t="inlineStr">
        <is>
          <t>Take</t>
        </is>
      </c>
      <c r="O30" s="25" t="inlineStr">
        <is>
          <t>Take</t>
        </is>
      </c>
      <c r="P30" s="25" t="inlineStr">
        <is>
          <t>Take</t>
        </is>
      </c>
      <c r="Q30" s="25" t="inlineStr">
        <is>
          <t>Take</t>
        </is>
      </c>
      <c r="R30" s="25" t="inlineStr">
        <is>
          <t>Take</t>
        </is>
      </c>
      <c r="S30" s="25" t="inlineStr">
        <is>
          <t>96bbc7</t>
        </is>
      </c>
    </row>
    <row r="31">
      <c r="A31" s="30" t="n">
        <v>46299.67708333334</v>
      </c>
      <c r="B31" s="12" t="inlineStr">
        <is>
          <t>Lyft</t>
        </is>
      </c>
      <c r="C31" s="31" t="n">
        <v>1.49</v>
      </c>
      <c r="D31" s="22" t="n">
        <v>5.9</v>
      </c>
      <c r="E31" s="31" t="n">
        <v>12.73</v>
      </c>
      <c r="F31" s="22" t="n">
        <v>32.9</v>
      </c>
      <c r="G31" s="32" t="n">
        <v>25.26</v>
      </c>
      <c r="H31" s="33">
        <f>IFERROR(G31/(C31+E31),0)</f>
        <v/>
      </c>
      <c r="I31" s="33">
        <f>IFERROR((G31-(C31+E31)*Assumptions!$B$13)/((D31+F31)/60),0)</f>
        <v/>
      </c>
      <c r="J31" s="12" t="inlineStr">
        <is>
          <t>Passed</t>
        </is>
      </c>
      <c r="K31" s="33" t="n"/>
      <c r="L31" s="33" t="n"/>
      <c r="M31" s="33">
        <f>IF(J31="Took",L31,ROUND(G31*(1+Assumptions!$B$14)-(C31+E31)*Assumptions!$B$13,2))</f>
        <v/>
      </c>
      <c r="N31" s="12" t="inlineStr">
        <is>
          <t>Busy</t>
        </is>
      </c>
      <c r="O31" s="12" t="inlineStr">
        <is>
          <t>Busy</t>
        </is>
      </c>
      <c r="P31" s="12" t="inlineStr">
        <is>
          <t>Busy</t>
        </is>
      </c>
      <c r="Q31" s="12" t="inlineStr">
        <is>
          <t>Busy</t>
        </is>
      </c>
      <c r="R31" s="12" t="inlineStr">
        <is>
          <t>Busy</t>
        </is>
      </c>
      <c r="S31" s="12" t="inlineStr">
        <is>
          <t>b1d3fc</t>
        </is>
      </c>
    </row>
    <row r="32">
      <c r="A32" s="24" t="n">
        <v>46299.68611111111</v>
      </c>
      <c r="B32" s="25" t="inlineStr">
        <is>
          <t>Uber</t>
        </is>
      </c>
      <c r="C32" s="26" t="n">
        <v>1.54</v>
      </c>
      <c r="D32" s="27" t="n">
        <v>6</v>
      </c>
      <c r="E32" s="26" t="n">
        <v>13.06</v>
      </c>
      <c r="F32" s="27" t="n">
        <v>32</v>
      </c>
      <c r="G32" s="28" t="n">
        <v>8.460000000000001</v>
      </c>
      <c r="H32" s="29">
        <f>IFERROR(G32/(C32+E32),0)</f>
        <v/>
      </c>
      <c r="I32" s="29">
        <f>IFERROR((G32-(C32+E32)*Assumptions!$B$13)/((D32+F32)/60),0)</f>
        <v/>
      </c>
      <c r="J32" s="25" t="inlineStr">
        <is>
          <t>Took</t>
        </is>
      </c>
      <c r="K32" s="28" t="n">
        <v>12.41</v>
      </c>
      <c r="L32" s="28" t="n">
        <v>8.35</v>
      </c>
      <c r="M32" s="29">
        <f>IF(J32="Took",L32,ROUND(G32*(1+Assumptions!$B$14)-(C32+E32)*Assumptions!$B$13,2))</f>
        <v/>
      </c>
      <c r="N32" s="25" t="inlineStr">
        <is>
          <t>Take</t>
        </is>
      </c>
      <c r="O32" s="25" t="inlineStr">
        <is>
          <t>Take</t>
        </is>
      </c>
      <c r="P32" s="25" t="inlineStr">
        <is>
          <t>Skip</t>
        </is>
      </c>
      <c r="Q32" s="25" t="inlineStr">
        <is>
          <t>Skip</t>
        </is>
      </c>
      <c r="R32" s="25" t="inlineStr">
        <is>
          <t>Take</t>
        </is>
      </c>
      <c r="S32" s="25" t="inlineStr">
        <is>
          <t>4c7a57</t>
        </is>
      </c>
    </row>
    <row r="33">
      <c r="A33" s="30" t="n">
        <v>46299.73958333334</v>
      </c>
      <c r="B33" s="12" t="inlineStr">
        <is>
          <t>Uber</t>
        </is>
      </c>
      <c r="C33" s="31" t="n">
        <v>1.96</v>
      </c>
      <c r="D33" s="22" t="n">
        <v>7.1</v>
      </c>
      <c r="E33" s="31" t="n">
        <v>8.130000000000001</v>
      </c>
      <c r="F33" s="22" t="n">
        <v>21.4</v>
      </c>
      <c r="G33" s="32" t="n">
        <v>15.29</v>
      </c>
      <c r="H33" s="33">
        <f>IFERROR(G33/(C33+E33),0)</f>
        <v/>
      </c>
      <c r="I33" s="33">
        <f>IFERROR((G33-(C33+E33)*Assumptions!$B$13)/((D33+F33)/60),0)</f>
        <v/>
      </c>
      <c r="J33" s="12" t="inlineStr">
        <is>
          <t>Passed</t>
        </is>
      </c>
      <c r="K33" s="33" t="n"/>
      <c r="L33" s="33" t="n"/>
      <c r="M33" s="33">
        <f>IF(J33="Took",L33,ROUND(G33*(1+Assumptions!$B$14)-(C33+E33)*Assumptions!$B$13,2))</f>
        <v/>
      </c>
      <c r="N33" s="12" t="inlineStr">
        <is>
          <t>Busy</t>
        </is>
      </c>
      <c r="O33" s="12" t="inlineStr">
        <is>
          <t>Busy</t>
        </is>
      </c>
      <c r="P33" s="12" t="inlineStr">
        <is>
          <t>Busy</t>
        </is>
      </c>
      <c r="Q33" s="12" t="inlineStr">
        <is>
          <t>Busy</t>
        </is>
      </c>
      <c r="R33" s="12" t="inlineStr">
        <is>
          <t>Busy</t>
        </is>
      </c>
      <c r="S33" s="12" t="inlineStr">
        <is>
          <t>25be7c</t>
        </is>
      </c>
    </row>
    <row r="34">
      <c r="A34" s="24" t="n">
        <v>46299.74305555555</v>
      </c>
      <c r="B34" s="25" t="inlineStr">
        <is>
          <t>Uber</t>
        </is>
      </c>
      <c r="C34" s="26" t="n">
        <v>1.98</v>
      </c>
      <c r="D34" s="27" t="n">
        <v>7.1</v>
      </c>
      <c r="E34" s="26" t="n">
        <v>24.41</v>
      </c>
      <c r="F34" s="27" t="n">
        <v>57</v>
      </c>
      <c r="G34" s="28" t="n">
        <v>42.45</v>
      </c>
      <c r="H34" s="29">
        <f>IFERROR(G34/(C34+E34),0)</f>
        <v/>
      </c>
      <c r="I34" s="29">
        <f>IFERROR((G34-(C34+E34)*Assumptions!$B$13)/((D34+F34)/60),0)</f>
        <v/>
      </c>
      <c r="J34" s="25" t="inlineStr">
        <is>
          <t>Passed</t>
        </is>
      </c>
      <c r="K34" s="29" t="n"/>
      <c r="L34" s="29" t="n"/>
      <c r="M34" s="29">
        <f>IF(J34="Took",L34,ROUND(G34*(1+Assumptions!$B$14)-(C34+E34)*Assumptions!$B$13,2))</f>
        <v/>
      </c>
      <c r="N34" s="25" t="inlineStr">
        <is>
          <t>Busy</t>
        </is>
      </c>
      <c r="O34" s="25" t="inlineStr">
        <is>
          <t>Busy</t>
        </is>
      </c>
      <c r="P34" s="25" t="inlineStr">
        <is>
          <t>Busy</t>
        </is>
      </c>
      <c r="Q34" s="25" t="inlineStr">
        <is>
          <t>Busy</t>
        </is>
      </c>
      <c r="R34" s="25" t="inlineStr">
        <is>
          <t>Busy</t>
        </is>
      </c>
      <c r="S34" s="25" t="inlineStr">
        <is>
          <t>e4f01b</t>
        </is>
      </c>
    </row>
    <row r="35">
      <c r="A35" s="30" t="n">
        <v>46299.74513888889</v>
      </c>
      <c r="B35" s="12" t="inlineStr">
        <is>
          <t>Uber</t>
        </is>
      </c>
      <c r="C35" s="31" t="n">
        <v>1.65</v>
      </c>
      <c r="D35" s="22" t="n">
        <v>6.7</v>
      </c>
      <c r="E35" s="31" t="n">
        <v>3.32</v>
      </c>
      <c r="F35" s="22" t="n">
        <v>15.3</v>
      </c>
      <c r="G35" s="32" t="n">
        <v>19.02</v>
      </c>
      <c r="H35" s="33">
        <f>IFERROR(G35/(C35+E35),0)</f>
        <v/>
      </c>
      <c r="I35" s="33">
        <f>IFERROR((G35-(C35+E35)*Assumptions!$B$13)/((D35+F35)/60),0)</f>
        <v/>
      </c>
      <c r="J35" s="12" t="inlineStr">
        <is>
          <t>Took</t>
        </is>
      </c>
      <c r="K35" s="32" t="n">
        <v>19.02</v>
      </c>
      <c r="L35" s="32" t="n">
        <v>17.64</v>
      </c>
      <c r="M35" s="33">
        <f>IF(J35="Took",L35,ROUND(G35*(1+Assumptions!$B$14)-(C35+E35)*Assumptions!$B$13,2))</f>
        <v/>
      </c>
      <c r="N35" s="12" t="inlineStr">
        <is>
          <t>Take</t>
        </is>
      </c>
      <c r="O35" s="12" t="inlineStr">
        <is>
          <t>Take</t>
        </is>
      </c>
      <c r="P35" s="12" t="inlineStr">
        <is>
          <t>Take</t>
        </is>
      </c>
      <c r="Q35" s="12" t="inlineStr">
        <is>
          <t>Take</t>
        </is>
      </c>
      <c r="R35" s="12" t="inlineStr">
        <is>
          <t>Take</t>
        </is>
      </c>
      <c r="S35" s="12" t="inlineStr">
        <is>
          <t>7fb440</t>
        </is>
      </c>
    </row>
    <row r="36">
      <c r="A36" s="24" t="n">
        <v>46299.75138888889</v>
      </c>
      <c r="B36" s="25" t="inlineStr">
        <is>
          <t>Lyft</t>
        </is>
      </c>
      <c r="C36" s="26" t="n">
        <v>0.65</v>
      </c>
      <c r="D36" s="27" t="n">
        <v>3.4</v>
      </c>
      <c r="E36" s="26" t="n">
        <v>12.79</v>
      </c>
      <c r="F36" s="27" t="n">
        <v>31.6</v>
      </c>
      <c r="G36" s="28" t="n">
        <v>26.44</v>
      </c>
      <c r="H36" s="29">
        <f>IFERROR(G36/(C36+E36),0)</f>
        <v/>
      </c>
      <c r="I36" s="29">
        <f>IFERROR((G36-(C36+E36)*Assumptions!$B$13)/((D36+F36)/60),0)</f>
        <v/>
      </c>
      <c r="J36" s="25" t="inlineStr">
        <is>
          <t>Took</t>
        </is>
      </c>
      <c r="K36" s="28" t="n">
        <v>26.44</v>
      </c>
      <c r="L36" s="28" t="n">
        <v>22.67</v>
      </c>
      <c r="M36" s="29">
        <f>IF(J36="Took",L36,ROUND(G36*(1+Assumptions!$B$14)-(C36+E36)*Assumptions!$B$13,2))</f>
        <v/>
      </c>
      <c r="N36" s="25" t="inlineStr">
        <is>
          <t>Take</t>
        </is>
      </c>
      <c r="O36" s="25" t="inlineStr">
        <is>
          <t>Take</t>
        </is>
      </c>
      <c r="P36" s="25" t="inlineStr">
        <is>
          <t>Take</t>
        </is>
      </c>
      <c r="Q36" s="25" t="inlineStr">
        <is>
          <t>Take</t>
        </is>
      </c>
      <c r="R36" s="25" t="inlineStr">
        <is>
          <t>Take</t>
        </is>
      </c>
      <c r="S36" s="25" t="inlineStr">
        <is>
          <t>13faf0</t>
        </is>
      </c>
    </row>
    <row r="37">
      <c r="A37" s="30" t="n">
        <v>46299.81805555556</v>
      </c>
      <c r="B37" s="12" t="inlineStr">
        <is>
          <t>Lyft</t>
        </is>
      </c>
      <c r="C37" s="31" t="n">
        <v>1.9</v>
      </c>
      <c r="D37" s="22" t="n">
        <v>6.9</v>
      </c>
      <c r="E37" s="31" t="n">
        <v>2.64</v>
      </c>
      <c r="F37" s="22" t="n">
        <v>8.9</v>
      </c>
      <c r="G37" s="32" t="n">
        <v>8.77</v>
      </c>
      <c r="H37" s="33">
        <f>IFERROR(G37/(C37+E37),0)</f>
        <v/>
      </c>
      <c r="I37" s="33">
        <f>IFERROR((G37-(C37+E37)*Assumptions!$B$13)/((D37+F37)/60),0)</f>
        <v/>
      </c>
      <c r="J37" s="12" t="inlineStr">
        <is>
          <t>Passed</t>
        </is>
      </c>
      <c r="K37" s="33" t="n"/>
      <c r="L37" s="33" t="n"/>
      <c r="M37" s="33">
        <f>IF(J37="Took",L37,ROUND(G37*(1+Assumptions!$B$14)-(C37+E37)*Assumptions!$B$13,2))</f>
        <v/>
      </c>
      <c r="N37" s="12" t="inlineStr">
        <is>
          <t>Take</t>
        </is>
      </c>
      <c r="O37" s="12" t="inlineStr">
        <is>
          <t>Take</t>
        </is>
      </c>
      <c r="P37" s="12" t="inlineStr">
        <is>
          <t>Take</t>
        </is>
      </c>
      <c r="Q37" s="12" t="inlineStr">
        <is>
          <t>Take</t>
        </is>
      </c>
      <c r="R37" s="12" t="inlineStr">
        <is>
          <t>Take</t>
        </is>
      </c>
      <c r="S37" s="12" t="inlineStr">
        <is>
          <t>8274a4</t>
        </is>
      </c>
    </row>
    <row r="38">
      <c r="A38" s="24" t="n">
        <v>46299.82916666667</v>
      </c>
      <c r="B38" s="25" t="inlineStr">
        <is>
          <t>Uber</t>
        </is>
      </c>
      <c r="C38" s="26" t="n">
        <v>0.58</v>
      </c>
      <c r="D38" s="27" t="n">
        <v>3</v>
      </c>
      <c r="E38" s="26" t="n">
        <v>27.36</v>
      </c>
      <c r="F38" s="27" t="n">
        <v>66.09999999999999</v>
      </c>
      <c r="G38" s="28" t="n">
        <v>40.95</v>
      </c>
      <c r="H38" s="29">
        <f>IFERROR(G38/(C38+E38),0)</f>
        <v/>
      </c>
      <c r="I38" s="29">
        <f>IFERROR((G38-(C38+E38)*Assumptions!$B$13)/((D38+F38)/60),0)</f>
        <v/>
      </c>
      <c r="J38" s="25" t="inlineStr">
        <is>
          <t>Took</t>
        </is>
      </c>
      <c r="K38" s="28" t="n">
        <v>47.93</v>
      </c>
      <c r="L38" s="28" t="n">
        <v>40.11</v>
      </c>
      <c r="M38" s="29">
        <f>IF(J38="Took",L38,ROUND(G38*(1+Assumptions!$B$14)-(C38+E38)*Assumptions!$B$13,2))</f>
        <v/>
      </c>
      <c r="N38" s="25" t="inlineStr">
        <is>
          <t>Take</t>
        </is>
      </c>
      <c r="O38" s="25" t="inlineStr">
        <is>
          <t>Take</t>
        </is>
      </c>
      <c r="P38" s="25" t="inlineStr">
        <is>
          <t>Take</t>
        </is>
      </c>
      <c r="Q38" s="25" t="inlineStr">
        <is>
          <t>Take</t>
        </is>
      </c>
      <c r="R38" s="25" t="inlineStr">
        <is>
          <t>Take</t>
        </is>
      </c>
      <c r="S38" s="25" t="inlineStr">
        <is>
          <t>57750f</t>
        </is>
      </c>
    </row>
    <row r="39">
      <c r="A39" s="30" t="n">
        <v>46299.89305555556</v>
      </c>
      <c r="B39" s="12" t="inlineStr">
        <is>
          <t>Uber</t>
        </is>
      </c>
      <c r="C39" s="31" t="n">
        <v>2.64</v>
      </c>
      <c r="D39" s="22" t="n">
        <v>8.9</v>
      </c>
      <c r="E39" s="31" t="n">
        <v>21.99</v>
      </c>
      <c r="F39" s="22" t="n">
        <v>56.3</v>
      </c>
      <c r="G39" s="32" t="n">
        <v>39.13</v>
      </c>
      <c r="H39" s="33">
        <f>IFERROR(G39/(C39+E39),0)</f>
        <v/>
      </c>
      <c r="I39" s="33">
        <f>IFERROR((G39-(C39+E39)*Assumptions!$B$13)/((D39+F39)/60),0)</f>
        <v/>
      </c>
      <c r="J39" s="12" t="inlineStr">
        <is>
          <t>Passed</t>
        </is>
      </c>
      <c r="K39" s="33" t="n"/>
      <c r="L39" s="33" t="n"/>
      <c r="M39" s="33">
        <f>IF(J39="Took",L39,ROUND(G39*(1+Assumptions!$B$14)-(C39+E39)*Assumptions!$B$13,2))</f>
        <v/>
      </c>
      <c r="N39" s="12" t="inlineStr">
        <is>
          <t>Busy</t>
        </is>
      </c>
      <c r="O39" s="12" t="inlineStr">
        <is>
          <t>Skip</t>
        </is>
      </c>
      <c r="P39" s="12" t="inlineStr">
        <is>
          <t>Busy</t>
        </is>
      </c>
      <c r="Q39" s="12" t="inlineStr">
        <is>
          <t>Busy</t>
        </is>
      </c>
      <c r="R39" s="12" t="inlineStr">
        <is>
          <t>Busy</t>
        </is>
      </c>
      <c r="S39" s="12" t="inlineStr">
        <is>
          <t>88a939</t>
        </is>
      </c>
    </row>
    <row r="40">
      <c r="A40" s="24" t="n">
        <v>46299.90555555555</v>
      </c>
      <c r="B40" s="25" t="inlineStr">
        <is>
          <t>Uber</t>
        </is>
      </c>
      <c r="C40" s="26" t="n">
        <v>1.11</v>
      </c>
      <c r="D40" s="27" t="n">
        <v>4.3</v>
      </c>
      <c r="E40" s="26" t="n">
        <v>28.74</v>
      </c>
      <c r="F40" s="27" t="n">
        <v>67.2</v>
      </c>
      <c r="G40" s="28" t="n">
        <v>37.69</v>
      </c>
      <c r="H40" s="29">
        <f>IFERROR(G40/(C40+E40),0)</f>
        <v/>
      </c>
      <c r="I40" s="29">
        <f>IFERROR((G40-(C40+E40)*Assumptions!$B$13)/((D40+F40)/60),0)</f>
        <v/>
      </c>
      <c r="J40" s="25" t="inlineStr">
        <is>
          <t>Took</t>
        </is>
      </c>
      <c r="K40" s="28" t="n">
        <v>37.69</v>
      </c>
      <c r="L40" s="28" t="n">
        <v>29.41</v>
      </c>
      <c r="M40" s="29">
        <f>IF(J40="Took",L40,ROUND(G40*(1+Assumptions!$B$14)-(C40+E40)*Assumptions!$B$13,2))</f>
        <v/>
      </c>
      <c r="N40" s="25" t="inlineStr">
        <is>
          <t>Take</t>
        </is>
      </c>
      <c r="O40" s="25" t="inlineStr">
        <is>
          <t>Take</t>
        </is>
      </c>
      <c r="P40" s="25" t="inlineStr">
        <is>
          <t>Take</t>
        </is>
      </c>
      <c r="Q40" s="25" t="inlineStr">
        <is>
          <t>Take</t>
        </is>
      </c>
      <c r="R40" s="25" t="inlineStr">
        <is>
          <t>Take</t>
        </is>
      </c>
      <c r="S40" s="25" t="inlineStr">
        <is>
          <t>b2c30a</t>
        </is>
      </c>
    </row>
    <row r="41">
      <c r="A41" s="30" t="n">
        <v>46302.52013888889</v>
      </c>
      <c r="B41" s="12" t="inlineStr">
        <is>
          <t>Uber</t>
        </is>
      </c>
      <c r="C41" s="31" t="n">
        <v>4.72</v>
      </c>
      <c r="D41" s="22" t="n">
        <v>14.3</v>
      </c>
      <c r="E41" s="31" t="n">
        <v>3.75</v>
      </c>
      <c r="F41" s="22" t="n">
        <v>15.9</v>
      </c>
      <c r="G41" s="32" t="n">
        <v>10.67</v>
      </c>
      <c r="H41" s="33">
        <f>IFERROR(G41/(C41+E41),0)</f>
        <v/>
      </c>
      <c r="I41" s="33">
        <f>IFERROR((G41-(C41+E41)*Assumptions!$B$13)/((D41+F41)/60),0)</f>
        <v/>
      </c>
      <c r="J41" s="12" t="inlineStr">
        <is>
          <t>Passed</t>
        </is>
      </c>
      <c r="K41" s="33" t="n"/>
      <c r="L41" s="33" t="n"/>
      <c r="M41" s="33">
        <f>IF(J41="Took",L41,ROUND(G41*(1+Assumptions!$B$14)-(C41+E41)*Assumptions!$B$13,2))</f>
        <v/>
      </c>
      <c r="N41" s="12" t="inlineStr">
        <is>
          <t>Skip</t>
        </is>
      </c>
      <c r="O41" s="12" t="inlineStr">
        <is>
          <t>Skip</t>
        </is>
      </c>
      <c r="P41" s="12" t="inlineStr">
        <is>
          <t>Take</t>
        </is>
      </c>
      <c r="Q41" s="12" t="inlineStr">
        <is>
          <t>Skip</t>
        </is>
      </c>
      <c r="R41" s="12" t="inlineStr">
        <is>
          <t>Busy</t>
        </is>
      </c>
      <c r="S41" s="12" t="inlineStr">
        <is>
          <t>6fade5</t>
        </is>
      </c>
    </row>
    <row r="42">
      <c r="A42" s="24" t="n">
        <v>46302.52222222222</v>
      </c>
      <c r="B42" s="25" t="inlineStr">
        <is>
          <t>Lyft</t>
        </is>
      </c>
      <c r="C42" s="26" t="n">
        <v>1.97</v>
      </c>
      <c r="D42" s="27" t="n">
        <v>6.9</v>
      </c>
      <c r="E42" s="26" t="n">
        <v>25.9</v>
      </c>
      <c r="F42" s="27" t="n">
        <v>61.5</v>
      </c>
      <c r="G42" s="28" t="n">
        <v>23.51</v>
      </c>
      <c r="H42" s="29">
        <f>IFERROR(G42/(C42+E42),0)</f>
        <v/>
      </c>
      <c r="I42" s="29">
        <f>IFERROR((G42-(C42+E42)*Assumptions!$B$13)/((D42+F42)/60),0)</f>
        <v/>
      </c>
      <c r="J42" s="25" t="inlineStr">
        <is>
          <t>Took</t>
        </is>
      </c>
      <c r="K42" s="28" t="n">
        <v>25.66</v>
      </c>
      <c r="L42" s="28" t="n">
        <v>17.86</v>
      </c>
      <c r="M42" s="29">
        <f>IF(J42="Took",L42,ROUND(G42*(1+Assumptions!$B$14)-(C42+E42)*Assumptions!$B$13,2))</f>
        <v/>
      </c>
      <c r="N42" s="25" t="inlineStr">
        <is>
          <t>Take</t>
        </is>
      </c>
      <c r="O42" s="25" t="inlineStr">
        <is>
          <t>Take</t>
        </is>
      </c>
      <c r="P42" s="25" t="inlineStr">
        <is>
          <t>Skip</t>
        </is>
      </c>
      <c r="Q42" s="25" t="inlineStr">
        <is>
          <t>Skip</t>
        </is>
      </c>
      <c r="R42" s="25" t="inlineStr">
        <is>
          <t>Take</t>
        </is>
      </c>
      <c r="S42" s="25" t="inlineStr">
        <is>
          <t>346b43</t>
        </is>
      </c>
    </row>
    <row r="43">
      <c r="A43" s="30" t="n">
        <v>46303.53263888889</v>
      </c>
      <c r="B43" s="12" t="inlineStr">
        <is>
          <t>Lyft</t>
        </is>
      </c>
      <c r="C43" s="31" t="n">
        <v>2.73</v>
      </c>
      <c r="D43" s="22" t="n">
        <v>9.1</v>
      </c>
      <c r="E43" s="31" t="n">
        <v>3.39</v>
      </c>
      <c r="F43" s="22" t="n">
        <v>13.4</v>
      </c>
      <c r="G43" s="32" t="n">
        <v>9.050000000000001</v>
      </c>
      <c r="H43" s="33">
        <f>IFERROR(G43/(C43+E43),0)</f>
        <v/>
      </c>
      <c r="I43" s="33">
        <f>IFERROR((G43-(C43+E43)*Assumptions!$B$13)/((D43+F43)/60),0)</f>
        <v/>
      </c>
      <c r="J43" s="12" t="inlineStr">
        <is>
          <t>Passed</t>
        </is>
      </c>
      <c r="K43" s="33" t="n"/>
      <c r="L43" s="33" t="n"/>
      <c r="M43" s="33">
        <f>IF(J43="Took",L43,ROUND(G43*(1+Assumptions!$B$14)-(C43+E43)*Assumptions!$B$13,2))</f>
        <v/>
      </c>
      <c r="N43" s="12" t="inlineStr">
        <is>
          <t>Busy</t>
        </is>
      </c>
      <c r="O43" s="12" t="inlineStr">
        <is>
          <t>Skip</t>
        </is>
      </c>
      <c r="P43" s="12" t="inlineStr">
        <is>
          <t>Busy</t>
        </is>
      </c>
      <c r="Q43" s="12" t="inlineStr">
        <is>
          <t>Skip</t>
        </is>
      </c>
      <c r="R43" s="12" t="inlineStr">
        <is>
          <t>Busy</t>
        </is>
      </c>
      <c r="S43" s="12" t="inlineStr">
        <is>
          <t>5e5396</t>
        </is>
      </c>
    </row>
    <row r="44">
      <c r="A44" s="24" t="n">
        <v>46303.54166666666</v>
      </c>
      <c r="B44" s="25" t="inlineStr">
        <is>
          <t>Uber</t>
        </is>
      </c>
      <c r="C44" s="26" t="n">
        <v>0.71</v>
      </c>
      <c r="D44" s="27" t="n">
        <v>3.5</v>
      </c>
      <c r="E44" s="26" t="n">
        <v>28.29</v>
      </c>
      <c r="F44" s="27" t="n">
        <v>67.40000000000001</v>
      </c>
      <c r="G44" s="28" t="n">
        <v>46.59</v>
      </c>
      <c r="H44" s="29">
        <f>IFERROR(G44/(C44+E44),0)</f>
        <v/>
      </c>
      <c r="I44" s="29">
        <f>IFERROR((G44-(C44+E44)*Assumptions!$B$13)/((D44+F44)/60),0)</f>
        <v/>
      </c>
      <c r="J44" s="25" t="inlineStr">
        <is>
          <t>Took</t>
        </is>
      </c>
      <c r="K44" s="28" t="n">
        <v>46.59</v>
      </c>
      <c r="L44" s="28" t="n">
        <v>38.44</v>
      </c>
      <c r="M44" s="29">
        <f>IF(J44="Took",L44,ROUND(G44*(1+Assumptions!$B$14)-(C44+E44)*Assumptions!$B$13,2))</f>
        <v/>
      </c>
      <c r="N44" s="25" t="inlineStr">
        <is>
          <t>Take</t>
        </is>
      </c>
      <c r="O44" s="25" t="inlineStr">
        <is>
          <t>Take</t>
        </is>
      </c>
      <c r="P44" s="25" t="inlineStr">
        <is>
          <t>Take</t>
        </is>
      </c>
      <c r="Q44" s="25" t="inlineStr">
        <is>
          <t>Take</t>
        </is>
      </c>
      <c r="R44" s="25" t="inlineStr">
        <is>
          <t>Take</t>
        </is>
      </c>
      <c r="S44" s="25" t="inlineStr">
        <is>
          <t>3c99e2</t>
        </is>
      </c>
    </row>
    <row r="45">
      <c r="A45" s="30" t="n">
        <v>46303.66875</v>
      </c>
      <c r="B45" s="12" t="inlineStr">
        <is>
          <t>Lyft</t>
        </is>
      </c>
      <c r="C45" s="31" t="n">
        <v>3.08</v>
      </c>
      <c r="D45" s="22" t="n">
        <v>10</v>
      </c>
      <c r="E45" s="31" t="n">
        <v>22.87</v>
      </c>
      <c r="F45" s="22" t="n">
        <v>53.9</v>
      </c>
      <c r="G45" s="32" t="n">
        <v>40.86</v>
      </c>
      <c r="H45" s="33">
        <f>IFERROR(G45/(C45+E45),0)</f>
        <v/>
      </c>
      <c r="I45" s="33">
        <f>IFERROR((G45-(C45+E45)*Assumptions!$B$13)/((D45+F45)/60),0)</f>
        <v/>
      </c>
      <c r="J45" s="12" t="inlineStr">
        <is>
          <t>Passed</t>
        </is>
      </c>
      <c r="K45" s="33" t="n"/>
      <c r="L45" s="33" t="n"/>
      <c r="M45" s="33">
        <f>IF(J45="Took",L45,ROUND(G45*(1+Assumptions!$B$14)-(C45+E45)*Assumptions!$B$13,2))</f>
        <v/>
      </c>
      <c r="N45" s="12" t="inlineStr">
        <is>
          <t>Skip</t>
        </is>
      </c>
      <c r="O45" s="12" t="inlineStr">
        <is>
          <t>Skip</t>
        </is>
      </c>
      <c r="P45" s="12" t="inlineStr">
        <is>
          <t>Busy</t>
        </is>
      </c>
      <c r="Q45" s="12" t="inlineStr">
        <is>
          <t>Busy</t>
        </is>
      </c>
      <c r="R45" s="12" t="inlineStr">
        <is>
          <t>Busy</t>
        </is>
      </c>
      <c r="S45" s="12" t="inlineStr">
        <is>
          <t>36d836</t>
        </is>
      </c>
    </row>
    <row r="46">
      <c r="A46" s="24" t="n">
        <v>46303.66944444444</v>
      </c>
      <c r="B46" s="25" t="inlineStr">
        <is>
          <t>Uber</t>
        </is>
      </c>
      <c r="C46" s="26" t="n">
        <v>3.71</v>
      </c>
      <c r="D46" s="27" t="n">
        <v>11.6</v>
      </c>
      <c r="E46" s="26" t="n">
        <v>20.07</v>
      </c>
      <c r="F46" s="27" t="n">
        <v>50.7</v>
      </c>
      <c r="G46" s="28" t="n">
        <v>37.32</v>
      </c>
      <c r="H46" s="29">
        <f>IFERROR(G46/(C46+E46),0)</f>
        <v/>
      </c>
      <c r="I46" s="29">
        <f>IFERROR((G46-(C46+E46)*Assumptions!$B$13)/((D46+F46)/60),0)</f>
        <v/>
      </c>
      <c r="J46" s="25" t="inlineStr">
        <is>
          <t>Passed</t>
        </is>
      </c>
      <c r="K46" s="29" t="n"/>
      <c r="L46" s="29" t="n"/>
      <c r="M46" s="29">
        <f>IF(J46="Took",L46,ROUND(G46*(1+Assumptions!$B$14)-(C46+E46)*Assumptions!$B$13,2))</f>
        <v/>
      </c>
      <c r="N46" s="25" t="inlineStr">
        <is>
          <t>Skip</t>
        </is>
      </c>
      <c r="O46" s="25" t="inlineStr">
        <is>
          <t>Skip</t>
        </is>
      </c>
      <c r="P46" s="25" t="inlineStr">
        <is>
          <t>Busy</t>
        </is>
      </c>
      <c r="Q46" s="25" t="inlineStr">
        <is>
          <t>Busy</t>
        </is>
      </c>
      <c r="R46" s="25" t="inlineStr">
        <is>
          <t>Busy</t>
        </is>
      </c>
      <c r="S46" s="25" t="inlineStr">
        <is>
          <t>0532f8</t>
        </is>
      </c>
    </row>
    <row r="47">
      <c r="A47" s="30" t="n">
        <v>46303.67430555556</v>
      </c>
      <c r="B47" s="12" t="inlineStr">
        <is>
          <t>Uber</t>
        </is>
      </c>
      <c r="C47" s="31" t="n">
        <v>0.5</v>
      </c>
      <c r="D47" s="22" t="n">
        <v>3.2</v>
      </c>
      <c r="E47" s="31" t="n">
        <v>19.42</v>
      </c>
      <c r="F47" s="22" t="n">
        <v>46.6</v>
      </c>
      <c r="G47" s="32" t="n">
        <v>34.93</v>
      </c>
      <c r="H47" s="33">
        <f>IFERROR(G47/(C47+E47),0)</f>
        <v/>
      </c>
      <c r="I47" s="33">
        <f>IFERROR((G47-(C47+E47)*Assumptions!$B$13)/((D47+F47)/60),0)</f>
        <v/>
      </c>
      <c r="J47" s="12" t="inlineStr">
        <is>
          <t>Took</t>
        </is>
      </c>
      <c r="K47" s="32" t="n">
        <v>34.93</v>
      </c>
      <c r="L47" s="32" t="n">
        <v>29.4</v>
      </c>
      <c r="M47" s="33">
        <f>IF(J47="Took",L47,ROUND(G47*(1+Assumptions!$B$14)-(C47+E47)*Assumptions!$B$13,2))</f>
        <v/>
      </c>
      <c r="N47" s="12" t="inlineStr">
        <is>
          <t>Take</t>
        </is>
      </c>
      <c r="O47" s="12" t="inlineStr">
        <is>
          <t>Take</t>
        </is>
      </c>
      <c r="P47" s="12" t="inlineStr">
        <is>
          <t>Take</t>
        </is>
      </c>
      <c r="Q47" s="12" t="inlineStr">
        <is>
          <t>Take</t>
        </is>
      </c>
      <c r="R47" s="12" t="inlineStr">
        <is>
          <t>Take</t>
        </is>
      </c>
      <c r="S47" s="12" t="inlineStr">
        <is>
          <t>5b2711</t>
        </is>
      </c>
    </row>
    <row r="48">
      <c r="A48" s="24" t="n">
        <v>46303.67777777778</v>
      </c>
      <c r="B48" s="25" t="inlineStr">
        <is>
          <t>Uber</t>
        </is>
      </c>
      <c r="C48" s="26" t="n">
        <v>2.18</v>
      </c>
      <c r="D48" s="27" t="n">
        <v>7.2</v>
      </c>
      <c r="E48" s="26" t="n">
        <v>22.94</v>
      </c>
      <c r="F48" s="27" t="n">
        <v>59.8</v>
      </c>
      <c r="G48" s="28" t="n">
        <v>40.18</v>
      </c>
      <c r="H48" s="29">
        <f>IFERROR(G48/(C48+E48),0)</f>
        <v/>
      </c>
      <c r="I48" s="29">
        <f>IFERROR((G48-(C48+E48)*Assumptions!$B$13)/((D48+F48)/60),0)</f>
        <v/>
      </c>
      <c r="J48" s="25" t="inlineStr">
        <is>
          <t>Took</t>
        </is>
      </c>
      <c r="K48" s="28" t="n">
        <v>42.81</v>
      </c>
      <c r="L48" s="28" t="n">
        <v>35.76</v>
      </c>
      <c r="M48" s="29">
        <f>IF(J48="Took",L48,ROUND(G48*(1+Assumptions!$B$14)-(C48+E48)*Assumptions!$B$13,2))</f>
        <v/>
      </c>
      <c r="N48" s="25" t="inlineStr">
        <is>
          <t>Take</t>
        </is>
      </c>
      <c r="O48" s="25" t="inlineStr">
        <is>
          <t>Skip</t>
        </is>
      </c>
      <c r="P48" s="25" t="inlineStr">
        <is>
          <t>Take</t>
        </is>
      </c>
      <c r="Q48" s="25" t="inlineStr">
        <is>
          <t>Take</t>
        </is>
      </c>
      <c r="R48" s="25" t="inlineStr">
        <is>
          <t>Take</t>
        </is>
      </c>
      <c r="S48" s="25" t="inlineStr">
        <is>
          <t>49bf75</t>
        </is>
      </c>
    </row>
    <row r="49">
      <c r="A49" s="30" t="n">
        <v>46303.70416666667</v>
      </c>
      <c r="B49" s="12" t="inlineStr">
        <is>
          <t>Lyft</t>
        </is>
      </c>
      <c r="C49" s="31" t="n">
        <v>2.24</v>
      </c>
      <c r="D49" s="22" t="n">
        <v>7.8</v>
      </c>
      <c r="E49" s="31" t="n">
        <v>12.84</v>
      </c>
      <c r="F49" s="22" t="n">
        <v>32.1</v>
      </c>
      <c r="G49" s="32" t="n">
        <v>25.06</v>
      </c>
      <c r="H49" s="33">
        <f>IFERROR(G49/(C49+E49),0)</f>
        <v/>
      </c>
      <c r="I49" s="33">
        <f>IFERROR((G49-(C49+E49)*Assumptions!$B$13)/((D49+F49)/60),0)</f>
        <v/>
      </c>
      <c r="J49" s="12" t="inlineStr">
        <is>
          <t>Passed</t>
        </is>
      </c>
      <c r="K49" s="33" t="n"/>
      <c r="L49" s="33" t="n"/>
      <c r="M49" s="33">
        <f>IF(J49="Took",L49,ROUND(G49*(1+Assumptions!$B$14)-(C49+E49)*Assumptions!$B$13,2))</f>
        <v/>
      </c>
      <c r="N49" s="12" t="inlineStr">
        <is>
          <t>Busy</t>
        </is>
      </c>
      <c r="O49" s="12" t="inlineStr">
        <is>
          <t>Skip</t>
        </is>
      </c>
      <c r="P49" s="12" t="inlineStr">
        <is>
          <t>Busy</t>
        </is>
      </c>
      <c r="Q49" s="12" t="inlineStr">
        <is>
          <t>Busy</t>
        </is>
      </c>
      <c r="R49" s="12" t="inlineStr">
        <is>
          <t>Busy</t>
        </is>
      </c>
      <c r="S49" s="12" t="inlineStr">
        <is>
          <t>64bcf3</t>
        </is>
      </c>
    </row>
    <row r="50">
      <c r="A50" s="24" t="n">
        <v>46303.70972222222</v>
      </c>
      <c r="B50" s="25" t="inlineStr">
        <is>
          <t>Uber</t>
        </is>
      </c>
      <c r="C50" s="26" t="n">
        <v>1.57</v>
      </c>
      <c r="D50" s="27" t="n">
        <v>5.8</v>
      </c>
      <c r="E50" s="26" t="n">
        <v>27.23</v>
      </c>
      <c r="F50" s="27" t="n">
        <v>69.3</v>
      </c>
      <c r="G50" s="28" t="n">
        <v>40.59</v>
      </c>
      <c r="H50" s="29">
        <f>IFERROR(G50/(C50+E50),0)</f>
        <v/>
      </c>
      <c r="I50" s="29">
        <f>IFERROR((G50-(C50+E50)*Assumptions!$B$13)/((D50+F50)/60),0)</f>
        <v/>
      </c>
      <c r="J50" s="25" t="inlineStr">
        <is>
          <t>Took</t>
        </is>
      </c>
      <c r="K50" s="28" t="n">
        <v>40.59</v>
      </c>
      <c r="L50" s="28" t="n">
        <v>32.62</v>
      </c>
      <c r="M50" s="29">
        <f>IF(J50="Took",L50,ROUND(G50*(1+Assumptions!$B$14)-(C50+E50)*Assumptions!$B$13,2))</f>
        <v/>
      </c>
      <c r="N50" s="25" t="inlineStr">
        <is>
          <t>Take</t>
        </is>
      </c>
      <c r="O50" s="25" t="inlineStr">
        <is>
          <t>Take</t>
        </is>
      </c>
      <c r="P50" s="25" t="inlineStr">
        <is>
          <t>Take</t>
        </is>
      </c>
      <c r="Q50" s="25" t="inlineStr">
        <is>
          <t>Take</t>
        </is>
      </c>
      <c r="R50" s="25" t="inlineStr">
        <is>
          <t>Take</t>
        </is>
      </c>
      <c r="S50" s="25" t="inlineStr">
        <is>
          <t>4aca81</t>
        </is>
      </c>
    </row>
    <row r="51">
      <c r="A51" s="30" t="n">
        <v>46303.75902777778</v>
      </c>
      <c r="B51" s="12" t="inlineStr">
        <is>
          <t>Uber</t>
        </is>
      </c>
      <c r="C51" s="31" t="n">
        <v>2.17</v>
      </c>
      <c r="D51" s="22" t="n">
        <v>7.6</v>
      </c>
      <c r="E51" s="31" t="n">
        <v>4.8</v>
      </c>
      <c r="F51" s="22" t="n">
        <v>15</v>
      </c>
      <c r="G51" s="32" t="n">
        <v>11.81</v>
      </c>
      <c r="H51" s="33">
        <f>IFERROR(G51/(C51+E51),0)</f>
        <v/>
      </c>
      <c r="I51" s="33">
        <f>IFERROR((G51-(C51+E51)*Assumptions!$B$13)/((D51+F51)/60),0)</f>
        <v/>
      </c>
      <c r="J51" s="12" t="inlineStr">
        <is>
          <t>Passed</t>
        </is>
      </c>
      <c r="K51" s="33" t="n"/>
      <c r="L51" s="33" t="n"/>
      <c r="M51" s="33">
        <f>IF(J51="Took",L51,ROUND(G51*(1+Assumptions!$B$14)-(C51+E51)*Assumptions!$B$13,2))</f>
        <v/>
      </c>
      <c r="N51" s="12" t="inlineStr">
        <is>
          <t>Busy</t>
        </is>
      </c>
      <c r="O51" s="12" t="inlineStr">
        <is>
          <t>Skip</t>
        </is>
      </c>
      <c r="P51" s="12" t="inlineStr">
        <is>
          <t>Busy</t>
        </is>
      </c>
      <c r="Q51" s="12" t="inlineStr">
        <is>
          <t>Busy</t>
        </is>
      </c>
      <c r="R51" s="12" t="inlineStr">
        <is>
          <t>Busy</t>
        </is>
      </c>
      <c r="S51" s="12" t="inlineStr">
        <is>
          <t>268a81</t>
        </is>
      </c>
    </row>
    <row r="52">
      <c r="A52" s="24" t="n">
        <v>46303.76319444444</v>
      </c>
      <c r="B52" s="25" t="inlineStr">
        <is>
          <t>Uber</t>
        </is>
      </c>
      <c r="C52" s="26" t="n">
        <v>1.41</v>
      </c>
      <c r="D52" s="27" t="n">
        <v>4.9</v>
      </c>
      <c r="E52" s="26" t="n">
        <v>3.43</v>
      </c>
      <c r="F52" s="27" t="n">
        <v>13.2</v>
      </c>
      <c r="G52" s="28" t="n">
        <v>15.95</v>
      </c>
      <c r="H52" s="29">
        <f>IFERROR(G52/(C52+E52),0)</f>
        <v/>
      </c>
      <c r="I52" s="29">
        <f>IFERROR((G52-(C52+E52)*Assumptions!$B$13)/((D52+F52)/60),0)</f>
        <v/>
      </c>
      <c r="J52" s="25" t="inlineStr">
        <is>
          <t>Took</t>
        </is>
      </c>
      <c r="K52" s="28" t="n">
        <v>15.95</v>
      </c>
      <c r="L52" s="28" t="n">
        <v>14.59</v>
      </c>
      <c r="M52" s="29">
        <f>IF(J52="Took",L52,ROUND(G52*(1+Assumptions!$B$14)-(C52+E52)*Assumptions!$B$13,2))</f>
        <v/>
      </c>
      <c r="N52" s="25" t="inlineStr">
        <is>
          <t>Take</t>
        </is>
      </c>
      <c r="O52" s="25" t="inlineStr">
        <is>
          <t>Take</t>
        </is>
      </c>
      <c r="P52" s="25" t="inlineStr">
        <is>
          <t>Take</t>
        </is>
      </c>
      <c r="Q52" s="25" t="inlineStr">
        <is>
          <t>Take</t>
        </is>
      </c>
      <c r="R52" s="25" t="inlineStr">
        <is>
          <t>Take</t>
        </is>
      </c>
      <c r="S52" s="25" t="inlineStr">
        <is>
          <t>c1f714</t>
        </is>
      </c>
    </row>
    <row r="53">
      <c r="A53" s="30" t="n">
        <v>46303.78541666667</v>
      </c>
      <c r="B53" s="12" t="inlineStr">
        <is>
          <t>Lyft</t>
        </is>
      </c>
      <c r="C53" s="31" t="n">
        <v>3.21</v>
      </c>
      <c r="D53" s="22" t="n">
        <v>10.3</v>
      </c>
      <c r="E53" s="31" t="n">
        <v>3.79</v>
      </c>
      <c r="F53" s="22" t="n">
        <v>11.4</v>
      </c>
      <c r="G53" s="32" t="n">
        <v>9.130000000000001</v>
      </c>
      <c r="H53" s="33">
        <f>IFERROR(G53/(C53+E53),0)</f>
        <v/>
      </c>
      <c r="I53" s="33">
        <f>IFERROR((G53-(C53+E53)*Assumptions!$B$13)/((D53+F53)/60),0)</f>
        <v/>
      </c>
      <c r="J53" s="12" t="inlineStr">
        <is>
          <t>Passed</t>
        </is>
      </c>
      <c r="K53" s="33" t="n"/>
      <c r="L53" s="33" t="n"/>
      <c r="M53" s="33">
        <f>IF(J53="Took",L53,ROUND(G53*(1+Assumptions!$B$14)-(C53+E53)*Assumptions!$B$13,2))</f>
        <v/>
      </c>
      <c r="N53" s="12" t="inlineStr">
        <is>
          <t>Skip</t>
        </is>
      </c>
      <c r="O53" s="12" t="inlineStr">
        <is>
          <t>Skip</t>
        </is>
      </c>
      <c r="P53" s="12" t="inlineStr">
        <is>
          <t>Busy</t>
        </is>
      </c>
      <c r="Q53" s="12" t="inlineStr">
        <is>
          <t>Skip</t>
        </is>
      </c>
      <c r="R53" s="12" t="inlineStr">
        <is>
          <t>Busy</t>
        </is>
      </c>
      <c r="S53" s="12" t="inlineStr">
        <is>
          <t>2e7536</t>
        </is>
      </c>
    </row>
    <row r="54">
      <c r="A54" s="24" t="n">
        <v>46303.78819444445</v>
      </c>
      <c r="B54" s="25" t="inlineStr">
        <is>
          <t>Uber</t>
        </is>
      </c>
      <c r="C54" s="26" t="n">
        <v>0.91</v>
      </c>
      <c r="D54" s="27" t="n">
        <v>3.9</v>
      </c>
      <c r="E54" s="26" t="n">
        <v>7.01</v>
      </c>
      <c r="F54" s="27" t="n">
        <v>25.1</v>
      </c>
      <c r="G54" s="28" t="n">
        <v>7.35</v>
      </c>
      <c r="H54" s="29">
        <f>IFERROR(G54/(C54+E54),0)</f>
        <v/>
      </c>
      <c r="I54" s="29">
        <f>IFERROR((G54-(C54+E54)*Assumptions!$B$13)/((D54+F54)/60),0)</f>
        <v/>
      </c>
      <c r="J54" s="25" t="inlineStr">
        <is>
          <t>Took</t>
        </is>
      </c>
      <c r="K54" s="28" t="n">
        <v>7.35</v>
      </c>
      <c r="L54" s="28" t="n">
        <v>5.11</v>
      </c>
      <c r="M54" s="29">
        <f>IF(J54="Took",L54,ROUND(G54*(1+Assumptions!$B$14)-(C54+E54)*Assumptions!$B$13,2))</f>
        <v/>
      </c>
      <c r="N54" s="25" t="inlineStr">
        <is>
          <t>Take</t>
        </is>
      </c>
      <c r="O54" s="25" t="inlineStr">
        <is>
          <t>Take</t>
        </is>
      </c>
      <c r="P54" s="25" t="inlineStr">
        <is>
          <t>Skip</t>
        </is>
      </c>
      <c r="Q54" s="25" t="inlineStr">
        <is>
          <t>Skip</t>
        </is>
      </c>
      <c r="R54" s="25" t="inlineStr">
        <is>
          <t>Take</t>
        </is>
      </c>
      <c r="S54" s="25" t="inlineStr">
        <is>
          <t>0be7cb</t>
        </is>
      </c>
    </row>
    <row r="55">
      <c r="A55" s="30" t="n">
        <v>46303.80694444444</v>
      </c>
      <c r="B55" s="12" t="inlineStr">
        <is>
          <t>Uber</t>
        </is>
      </c>
      <c r="C55" s="31" t="n">
        <v>1.91</v>
      </c>
      <c r="D55" s="22" t="n">
        <v>7</v>
      </c>
      <c r="E55" s="31" t="n">
        <v>19.61</v>
      </c>
      <c r="F55" s="22" t="n">
        <v>49.8</v>
      </c>
      <c r="G55" s="32" t="n">
        <v>36.55</v>
      </c>
      <c r="H55" s="33">
        <f>IFERROR(G55/(C55+E55),0)</f>
        <v/>
      </c>
      <c r="I55" s="33">
        <f>IFERROR((G55-(C55+E55)*Assumptions!$B$13)/((D55+F55)/60),0)</f>
        <v/>
      </c>
      <c r="J55" s="12" t="inlineStr">
        <is>
          <t>Passed</t>
        </is>
      </c>
      <c r="K55" s="33" t="n"/>
      <c r="L55" s="33" t="n"/>
      <c r="M55" s="33">
        <f>IF(J55="Took",L55,ROUND(G55*(1+Assumptions!$B$14)-(C55+E55)*Assumptions!$B$13,2))</f>
        <v/>
      </c>
      <c r="N55" s="12" t="inlineStr">
        <is>
          <t>Busy</t>
        </is>
      </c>
      <c r="O55" s="12" t="inlineStr">
        <is>
          <t>Busy</t>
        </is>
      </c>
      <c r="P55" s="12" t="inlineStr">
        <is>
          <t>Busy</t>
        </is>
      </c>
      <c r="Q55" s="12" t="inlineStr">
        <is>
          <t>Busy</t>
        </is>
      </c>
      <c r="R55" s="12" t="inlineStr">
        <is>
          <t>Busy</t>
        </is>
      </c>
      <c r="S55" s="12" t="inlineStr">
        <is>
          <t>6dbbd9</t>
        </is>
      </c>
    </row>
    <row r="56">
      <c r="A56" s="24" t="n">
        <v>46303.81666666667</v>
      </c>
      <c r="B56" s="25" t="inlineStr">
        <is>
          <t>Uber</t>
        </is>
      </c>
      <c r="C56" s="26" t="n">
        <v>1.59</v>
      </c>
      <c r="D56" s="27" t="n">
        <v>5.3</v>
      </c>
      <c r="E56" s="26" t="n">
        <v>9.949999999999999</v>
      </c>
      <c r="F56" s="27" t="n">
        <v>30.3</v>
      </c>
      <c r="G56" s="28" t="n">
        <v>14.92</v>
      </c>
      <c r="H56" s="29">
        <f>IFERROR(G56/(C56+E56),0)</f>
        <v/>
      </c>
      <c r="I56" s="29">
        <f>IFERROR((G56-(C56+E56)*Assumptions!$B$13)/((D56+F56)/60),0)</f>
        <v/>
      </c>
      <c r="J56" s="25" t="inlineStr">
        <is>
          <t>Took</t>
        </is>
      </c>
      <c r="K56" s="28" t="n">
        <v>14.92</v>
      </c>
      <c r="L56" s="28" t="n">
        <v>11.72</v>
      </c>
      <c r="M56" s="29">
        <f>IF(J56="Took",L56,ROUND(G56*(1+Assumptions!$B$14)-(C56+E56)*Assumptions!$B$13,2))</f>
        <v/>
      </c>
      <c r="N56" s="25" t="inlineStr">
        <is>
          <t>Take</t>
        </is>
      </c>
      <c r="O56" s="25" t="inlineStr">
        <is>
          <t>Take</t>
        </is>
      </c>
      <c r="P56" s="25" t="inlineStr">
        <is>
          <t>Take</t>
        </is>
      </c>
      <c r="Q56" s="25" t="inlineStr">
        <is>
          <t>Skip</t>
        </is>
      </c>
      <c r="R56" s="25" t="inlineStr">
        <is>
          <t>Take</t>
        </is>
      </c>
      <c r="S56" s="25" t="inlineStr">
        <is>
          <t>9e9ba1</t>
        </is>
      </c>
    </row>
    <row r="57">
      <c r="A57" s="30" t="n">
        <v>46305.31944444445</v>
      </c>
      <c r="B57" s="12" t="inlineStr">
        <is>
          <t>Uber</t>
        </is>
      </c>
      <c r="C57" s="31" t="n">
        <v>0.84</v>
      </c>
      <c r="D57" s="22" t="n">
        <v>4</v>
      </c>
      <c r="E57" s="31" t="n">
        <v>2.68</v>
      </c>
      <c r="F57" s="22" t="n">
        <v>14.8</v>
      </c>
      <c r="G57" s="32" t="n">
        <v>17.93</v>
      </c>
      <c r="H57" s="33">
        <f>IFERROR(G57/(C57+E57),0)</f>
        <v/>
      </c>
      <c r="I57" s="33">
        <f>IFERROR((G57-(C57+E57)*Assumptions!$B$13)/((D57+F57)/60),0)</f>
        <v/>
      </c>
      <c r="J57" s="12" t="inlineStr">
        <is>
          <t>Took</t>
        </is>
      </c>
      <c r="K57" s="32" t="n">
        <v>17.93</v>
      </c>
      <c r="L57" s="32" t="n">
        <v>16.95</v>
      </c>
      <c r="M57" s="33">
        <f>IF(J57="Took",L57,ROUND(G57*(1+Assumptions!$B$14)-(C57+E57)*Assumptions!$B$13,2))</f>
        <v/>
      </c>
      <c r="N57" s="12" t="inlineStr">
        <is>
          <t>Take</t>
        </is>
      </c>
      <c r="O57" s="12" t="inlineStr">
        <is>
          <t>Take</t>
        </is>
      </c>
      <c r="P57" s="12" t="inlineStr">
        <is>
          <t>Take</t>
        </is>
      </c>
      <c r="Q57" s="12" t="inlineStr">
        <is>
          <t>Take</t>
        </is>
      </c>
      <c r="R57" s="12" t="inlineStr">
        <is>
          <t>Take</t>
        </is>
      </c>
      <c r="S57" s="12" t="inlineStr">
        <is>
          <t>bd1e08</t>
        </is>
      </c>
    </row>
    <row r="58">
      <c r="A58" s="24" t="n">
        <v>46305.45694444444</v>
      </c>
      <c r="B58" s="25" t="inlineStr">
        <is>
          <t>Uber</t>
        </is>
      </c>
      <c r="C58" s="26" t="n">
        <v>3.06</v>
      </c>
      <c r="D58" s="27" t="n">
        <v>9.699999999999999</v>
      </c>
      <c r="E58" s="26" t="n">
        <v>6.12</v>
      </c>
      <c r="F58" s="27" t="n">
        <v>17.9</v>
      </c>
      <c r="G58" s="28" t="n">
        <v>11.88</v>
      </c>
      <c r="H58" s="29">
        <f>IFERROR(G58/(C58+E58),0)</f>
        <v/>
      </c>
      <c r="I58" s="29">
        <f>IFERROR((G58-(C58+E58)*Assumptions!$B$13)/((D58+F58)/60),0)</f>
        <v/>
      </c>
      <c r="J58" s="25" t="inlineStr">
        <is>
          <t>Took</t>
        </is>
      </c>
      <c r="K58" s="28" t="n">
        <v>11.88</v>
      </c>
      <c r="L58" s="28" t="n">
        <v>9.300000000000001</v>
      </c>
      <c r="M58" s="29">
        <f>IF(J58="Took",L58,ROUND(G58*(1+Assumptions!$B$14)-(C58+E58)*Assumptions!$B$13,2))</f>
        <v/>
      </c>
      <c r="N58" s="25" t="inlineStr">
        <is>
          <t>Skip</t>
        </is>
      </c>
      <c r="O58" s="25" t="inlineStr">
        <is>
          <t>Skip</t>
        </is>
      </c>
      <c r="P58" s="25" t="inlineStr">
        <is>
          <t>Take</t>
        </is>
      </c>
      <c r="Q58" s="25" t="inlineStr">
        <is>
          <t>Take</t>
        </is>
      </c>
      <c r="R58" s="25" t="inlineStr">
        <is>
          <t>Take</t>
        </is>
      </c>
      <c r="S58" s="25" t="inlineStr">
        <is>
          <t>3e20b5</t>
        </is>
      </c>
    </row>
    <row r="59">
      <c r="A59" s="30" t="n">
        <v>46305.48958333334</v>
      </c>
      <c r="B59" s="12" t="inlineStr">
        <is>
          <t>Uber</t>
        </is>
      </c>
      <c r="C59" s="31" t="n">
        <v>2.1</v>
      </c>
      <c r="D59" s="22" t="n">
        <v>6.9</v>
      </c>
      <c r="E59" s="31" t="n">
        <v>24.18</v>
      </c>
      <c r="F59" s="22" t="n">
        <v>62.4</v>
      </c>
      <c r="G59" s="32" t="n">
        <v>46.02</v>
      </c>
      <c r="H59" s="33">
        <f>IFERROR(G59/(C59+E59),0)</f>
        <v/>
      </c>
      <c r="I59" s="33">
        <f>IFERROR((G59-(C59+E59)*Assumptions!$B$13)/((D59+F59)/60),0)</f>
        <v/>
      </c>
      <c r="J59" s="12" t="inlineStr">
        <is>
          <t>Took</t>
        </is>
      </c>
      <c r="K59" s="32" t="n">
        <v>56.89</v>
      </c>
      <c r="L59" s="32" t="n">
        <v>49.5</v>
      </c>
      <c r="M59" s="33">
        <f>IF(J59="Took",L59,ROUND(G59*(1+Assumptions!$B$14)-(C59+E59)*Assumptions!$B$13,2))</f>
        <v/>
      </c>
      <c r="N59" s="12" t="inlineStr">
        <is>
          <t>Take</t>
        </is>
      </c>
      <c r="O59" s="12" t="inlineStr">
        <is>
          <t>Skip</t>
        </is>
      </c>
      <c r="P59" s="12" t="inlineStr">
        <is>
          <t>Take</t>
        </is>
      </c>
      <c r="Q59" s="12" t="inlineStr">
        <is>
          <t>Take</t>
        </is>
      </c>
      <c r="R59" s="12" t="inlineStr">
        <is>
          <t>Take</t>
        </is>
      </c>
      <c r="S59" s="12" t="inlineStr">
        <is>
          <t>79f550</t>
        </is>
      </c>
    </row>
    <row r="60">
      <c r="A60" s="24" t="n">
        <v>46305.49097222222</v>
      </c>
      <c r="B60" s="25" t="inlineStr">
        <is>
          <t>Lyft</t>
        </is>
      </c>
      <c r="C60" s="26" t="n">
        <v>5.06</v>
      </c>
      <c r="D60" s="27" t="n">
        <v>14.5</v>
      </c>
      <c r="E60" s="26" t="n">
        <v>15.29</v>
      </c>
      <c r="F60" s="27" t="n">
        <v>35.3</v>
      </c>
      <c r="G60" s="28" t="n">
        <v>16.01</v>
      </c>
      <c r="H60" s="29">
        <f>IFERROR(G60/(C60+E60),0)</f>
        <v/>
      </c>
      <c r="I60" s="29">
        <f>IFERROR((G60-(C60+E60)*Assumptions!$B$13)/((D60+F60)/60),0)</f>
        <v/>
      </c>
      <c r="J60" s="25" t="inlineStr">
        <is>
          <t>Took</t>
        </is>
      </c>
      <c r="K60" s="28" t="n">
        <v>16.01</v>
      </c>
      <c r="L60" s="28" t="n">
        <v>10.33</v>
      </c>
      <c r="M60" s="29">
        <f>IF(J60="Took",L60,ROUND(G60*(1+Assumptions!$B$14)-(C60+E60)*Assumptions!$B$13,2))</f>
        <v/>
      </c>
      <c r="N60" s="25" t="inlineStr">
        <is>
          <t>Skip</t>
        </is>
      </c>
      <c r="O60" s="25" t="inlineStr">
        <is>
          <t>Skip</t>
        </is>
      </c>
      <c r="P60" s="25" t="inlineStr">
        <is>
          <t>Skip</t>
        </is>
      </c>
      <c r="Q60" s="25" t="inlineStr">
        <is>
          <t>Skip</t>
        </is>
      </c>
      <c r="R60" s="25" t="inlineStr">
        <is>
          <t>Take</t>
        </is>
      </c>
      <c r="S60" s="25" t="inlineStr">
        <is>
          <t>f2003d</t>
        </is>
      </c>
    </row>
    <row r="61">
      <c r="A61" s="30" t="n">
        <v>46305.62152777778</v>
      </c>
      <c r="B61" s="12" t="inlineStr">
        <is>
          <t>Lyft</t>
        </is>
      </c>
      <c r="C61" s="31" t="n">
        <v>3.58</v>
      </c>
      <c r="D61" s="22" t="n">
        <v>11.3</v>
      </c>
      <c r="E61" s="31" t="n">
        <v>24.83</v>
      </c>
      <c r="F61" s="22" t="n">
        <v>59</v>
      </c>
      <c r="G61" s="32" t="n">
        <v>43.01</v>
      </c>
      <c r="H61" s="33">
        <f>IFERROR(G61/(C61+E61),0)</f>
        <v/>
      </c>
      <c r="I61" s="33">
        <f>IFERROR((G61-(C61+E61)*Assumptions!$B$13)/((D61+F61)/60),0)</f>
        <v/>
      </c>
      <c r="J61" s="12" t="inlineStr">
        <is>
          <t>Passed</t>
        </is>
      </c>
      <c r="K61" s="33" t="n"/>
      <c r="L61" s="33" t="n"/>
      <c r="M61" s="33">
        <f>IF(J61="Took",L61,ROUND(G61*(1+Assumptions!$B$14)-(C61+E61)*Assumptions!$B$13,2))</f>
        <v/>
      </c>
      <c r="N61" s="12" t="inlineStr">
        <is>
          <t>Skip</t>
        </is>
      </c>
      <c r="O61" s="12" t="inlineStr">
        <is>
          <t>Skip</t>
        </is>
      </c>
      <c r="P61" s="12" t="inlineStr">
        <is>
          <t>Busy</t>
        </is>
      </c>
      <c r="Q61" s="12" t="inlineStr">
        <is>
          <t>Busy</t>
        </is>
      </c>
      <c r="R61" s="12" t="inlineStr">
        <is>
          <t>Busy</t>
        </is>
      </c>
      <c r="S61" s="12" t="inlineStr">
        <is>
          <t>84d712</t>
        </is>
      </c>
    </row>
    <row r="62">
      <c r="A62" s="24" t="n">
        <v>46305.63263888889</v>
      </c>
      <c r="B62" s="25" t="inlineStr">
        <is>
          <t>Uber</t>
        </is>
      </c>
      <c r="C62" s="26" t="n">
        <v>1.22</v>
      </c>
      <c r="D62" s="27" t="n">
        <v>5.2</v>
      </c>
      <c r="E62" s="26" t="n">
        <v>11.77</v>
      </c>
      <c r="F62" s="27" t="n">
        <v>34.7</v>
      </c>
      <c r="G62" s="28" t="n">
        <v>25.77</v>
      </c>
      <c r="H62" s="29">
        <f>IFERROR(G62/(C62+E62),0)</f>
        <v/>
      </c>
      <c r="I62" s="29">
        <f>IFERROR((G62-(C62+E62)*Assumptions!$B$13)/((D62+F62)/60),0)</f>
        <v/>
      </c>
      <c r="J62" s="25" t="inlineStr">
        <is>
          <t>Took</t>
        </is>
      </c>
      <c r="K62" s="28" t="n">
        <v>25.77</v>
      </c>
      <c r="L62" s="28" t="n">
        <v>22.09</v>
      </c>
      <c r="M62" s="29">
        <f>IF(J62="Took",L62,ROUND(G62*(1+Assumptions!$B$14)-(C62+E62)*Assumptions!$B$13,2))</f>
        <v/>
      </c>
      <c r="N62" s="25" t="inlineStr">
        <is>
          <t>Take</t>
        </is>
      </c>
      <c r="O62" s="25" t="inlineStr">
        <is>
          <t>Take</t>
        </is>
      </c>
      <c r="P62" s="25" t="inlineStr">
        <is>
          <t>Take</t>
        </is>
      </c>
      <c r="Q62" s="25" t="inlineStr">
        <is>
          <t>Take</t>
        </is>
      </c>
      <c r="R62" s="25" t="inlineStr">
        <is>
          <t>Take</t>
        </is>
      </c>
      <c r="S62" s="25" t="inlineStr">
        <is>
          <t>a808b0</t>
        </is>
      </c>
    </row>
    <row r="63">
      <c r="A63" s="30" t="n">
        <v>46305.63263888889</v>
      </c>
      <c r="B63" s="12" t="inlineStr">
        <is>
          <t>Lyft</t>
        </is>
      </c>
      <c r="C63" s="31" t="n">
        <v>3.74</v>
      </c>
      <c r="D63" s="22" t="n">
        <v>11.7</v>
      </c>
      <c r="E63" s="31" t="n">
        <v>10.74</v>
      </c>
      <c r="F63" s="22" t="n">
        <v>29</v>
      </c>
      <c r="G63" s="32" t="n">
        <v>22.16</v>
      </c>
      <c r="H63" s="33">
        <f>IFERROR(G63/(C63+E63),0)</f>
        <v/>
      </c>
      <c r="I63" s="33">
        <f>IFERROR((G63-(C63+E63)*Assumptions!$B$13)/((D63+F63)/60),0)</f>
        <v/>
      </c>
      <c r="J63" s="12" t="inlineStr">
        <is>
          <t>Passed</t>
        </is>
      </c>
      <c r="K63" s="33" t="n"/>
      <c r="L63" s="33" t="n"/>
      <c r="M63" s="33">
        <f>IF(J63="Took",L63,ROUND(G63*(1+Assumptions!$B$14)-(C63+E63)*Assumptions!$B$13,2))</f>
        <v/>
      </c>
      <c r="N63" s="12" t="inlineStr">
        <is>
          <t>Skip</t>
        </is>
      </c>
      <c r="O63" s="12" t="inlineStr">
        <is>
          <t>Skip</t>
        </is>
      </c>
      <c r="P63" s="12" t="inlineStr">
        <is>
          <t>Busy</t>
        </is>
      </c>
      <c r="Q63" s="12" t="inlineStr">
        <is>
          <t>Busy</t>
        </is>
      </c>
      <c r="R63" s="12" t="inlineStr">
        <is>
          <t>Busy</t>
        </is>
      </c>
      <c r="S63" s="12" t="inlineStr">
        <is>
          <t>deb08c</t>
        </is>
      </c>
    </row>
    <row r="64">
      <c r="A64" s="24" t="n">
        <v>46305.64027777778</v>
      </c>
      <c r="B64" s="25" t="inlineStr">
        <is>
          <t>Uber</t>
        </is>
      </c>
      <c r="C64" s="26" t="n">
        <v>0.65</v>
      </c>
      <c r="D64" s="27" t="n">
        <v>3.9</v>
      </c>
      <c r="E64" s="26" t="n">
        <v>2.22</v>
      </c>
      <c r="F64" s="27" t="n">
        <v>9.4</v>
      </c>
      <c r="G64" s="28" t="n">
        <v>22.53</v>
      </c>
      <c r="H64" s="29">
        <f>IFERROR(G64/(C64+E64),0)</f>
        <v/>
      </c>
      <c r="I64" s="29">
        <f>IFERROR((G64-(C64+E64)*Assumptions!$B$13)/((D64+F64)/60),0)</f>
        <v/>
      </c>
      <c r="J64" s="25" t="inlineStr">
        <is>
          <t>Took</t>
        </is>
      </c>
      <c r="K64" s="28" t="n">
        <v>22.53</v>
      </c>
      <c r="L64" s="28" t="n">
        <v>21.73</v>
      </c>
      <c r="M64" s="29">
        <f>IF(J64="Took",L64,ROUND(G64*(1+Assumptions!$B$14)-(C64+E64)*Assumptions!$B$13,2))</f>
        <v/>
      </c>
      <c r="N64" s="25" t="inlineStr">
        <is>
          <t>Take</t>
        </is>
      </c>
      <c r="O64" s="25" t="inlineStr">
        <is>
          <t>Take</t>
        </is>
      </c>
      <c r="P64" s="25" t="inlineStr">
        <is>
          <t>Take</t>
        </is>
      </c>
      <c r="Q64" s="25" t="inlineStr">
        <is>
          <t>Take</t>
        </is>
      </c>
      <c r="R64" s="25" t="inlineStr">
        <is>
          <t>Take</t>
        </is>
      </c>
      <c r="S64" s="25" t="inlineStr">
        <is>
          <t>190e76</t>
        </is>
      </c>
    </row>
    <row r="65">
      <c r="A65" s="30" t="n">
        <v>46305.64791666667</v>
      </c>
      <c r="B65" s="12" t="inlineStr">
        <is>
          <t>Uber</t>
        </is>
      </c>
      <c r="C65" s="31" t="n">
        <v>3.22</v>
      </c>
      <c r="D65" s="22" t="n">
        <v>11.1</v>
      </c>
      <c r="E65" s="31" t="n">
        <v>9.56</v>
      </c>
      <c r="F65" s="22" t="n">
        <v>30</v>
      </c>
      <c r="G65" s="32" t="n">
        <v>15.16</v>
      </c>
      <c r="H65" s="33">
        <f>IFERROR(G65/(C65+E65),0)</f>
        <v/>
      </c>
      <c r="I65" s="33">
        <f>IFERROR((G65-(C65+E65)*Assumptions!$B$13)/((D65+F65)/60),0)</f>
        <v/>
      </c>
      <c r="J65" s="12" t="inlineStr">
        <is>
          <t>Took</t>
        </is>
      </c>
      <c r="K65" s="32" t="n">
        <v>15.16</v>
      </c>
      <c r="L65" s="32" t="n">
        <v>11.6</v>
      </c>
      <c r="M65" s="33">
        <f>IF(J65="Took",L65,ROUND(G65*(1+Assumptions!$B$14)-(C65+E65)*Assumptions!$B$13,2))</f>
        <v/>
      </c>
      <c r="N65" s="12" t="inlineStr">
        <is>
          <t>Skip</t>
        </is>
      </c>
      <c r="O65" s="12" t="inlineStr">
        <is>
          <t>Skip</t>
        </is>
      </c>
      <c r="P65" s="12" t="inlineStr">
        <is>
          <t>Take</t>
        </is>
      </c>
      <c r="Q65" s="12" t="inlineStr">
        <is>
          <t>Skip</t>
        </is>
      </c>
      <c r="R65" s="12" t="inlineStr">
        <is>
          <t>Take</t>
        </is>
      </c>
      <c r="S65" s="12" t="inlineStr">
        <is>
          <t>4c6b2c</t>
        </is>
      </c>
    </row>
    <row r="66">
      <c r="A66" s="24" t="n">
        <v>46305.76944444444</v>
      </c>
      <c r="B66" s="25" t="inlineStr">
        <is>
          <t>Uber</t>
        </is>
      </c>
      <c r="C66" s="26" t="n">
        <v>2.8</v>
      </c>
      <c r="D66" s="27" t="n">
        <v>9.300000000000001</v>
      </c>
      <c r="E66" s="26" t="n">
        <v>15.85</v>
      </c>
      <c r="F66" s="27" t="n">
        <v>40.1</v>
      </c>
      <c r="G66" s="28" t="n">
        <v>29.13</v>
      </c>
      <c r="H66" s="29">
        <f>IFERROR(G66/(C66+E66),0)</f>
        <v/>
      </c>
      <c r="I66" s="29">
        <f>IFERROR((G66-(C66+E66)*Assumptions!$B$13)/((D66+F66)/60),0)</f>
        <v/>
      </c>
      <c r="J66" s="25" t="inlineStr">
        <is>
          <t>Passed</t>
        </is>
      </c>
      <c r="K66" s="29" t="n"/>
      <c r="L66" s="29" t="n"/>
      <c r="M66" s="29">
        <f>IF(J66="Took",L66,ROUND(G66*(1+Assumptions!$B$14)-(C66+E66)*Assumptions!$B$13,2))</f>
        <v/>
      </c>
      <c r="N66" s="25" t="inlineStr">
        <is>
          <t>Busy</t>
        </is>
      </c>
      <c r="O66" s="25" t="inlineStr">
        <is>
          <t>Skip</t>
        </is>
      </c>
      <c r="P66" s="25" t="inlineStr">
        <is>
          <t>Take</t>
        </is>
      </c>
      <c r="Q66" s="25" t="inlineStr">
        <is>
          <t>Take</t>
        </is>
      </c>
      <c r="R66" s="25" t="inlineStr">
        <is>
          <t>Busy</t>
        </is>
      </c>
      <c r="S66" s="25" t="inlineStr">
        <is>
          <t>dbe80f</t>
        </is>
      </c>
    </row>
    <row r="67">
      <c r="A67" s="30" t="n">
        <v>46305.77291666667</v>
      </c>
      <c r="B67" s="12" t="inlineStr">
        <is>
          <t>Uber</t>
        </is>
      </c>
      <c r="C67" s="31" t="n">
        <v>1.34</v>
      </c>
      <c r="D67" s="22" t="n">
        <v>6.3</v>
      </c>
      <c r="E67" s="31" t="n">
        <v>8.57</v>
      </c>
      <c r="F67" s="22" t="n">
        <v>24</v>
      </c>
      <c r="G67" s="32" t="n">
        <v>9.199999999999999</v>
      </c>
      <c r="H67" s="33">
        <f>IFERROR(G67/(C67+E67),0)</f>
        <v/>
      </c>
      <c r="I67" s="33">
        <f>IFERROR((G67-(C67+E67)*Assumptions!$B$13)/((D67+F67)/60),0)</f>
        <v/>
      </c>
      <c r="J67" s="12" t="inlineStr">
        <is>
          <t>Took</t>
        </is>
      </c>
      <c r="K67" s="32" t="n">
        <v>15.09</v>
      </c>
      <c r="L67" s="32" t="n">
        <v>12.34</v>
      </c>
      <c r="M67" s="33">
        <f>IF(J67="Took",L67,ROUND(G67*(1+Assumptions!$B$14)-(C67+E67)*Assumptions!$B$13,2))</f>
        <v/>
      </c>
      <c r="N67" s="12" t="inlineStr">
        <is>
          <t>Take</t>
        </is>
      </c>
      <c r="O67" s="12" t="inlineStr">
        <is>
          <t>Take</t>
        </is>
      </c>
      <c r="P67" s="12" t="inlineStr">
        <is>
          <t>Skip</t>
        </is>
      </c>
      <c r="Q67" s="12" t="inlineStr">
        <is>
          <t>Skip</t>
        </is>
      </c>
      <c r="R67" s="12" t="inlineStr">
        <is>
          <t>Take</t>
        </is>
      </c>
      <c r="S67" s="12" t="inlineStr">
        <is>
          <t>a53e68</t>
        </is>
      </c>
    </row>
    <row r="68">
      <c r="A68" s="24" t="n">
        <v>46306.29444444444</v>
      </c>
      <c r="B68" s="25" t="inlineStr">
        <is>
          <t>Lyft</t>
        </is>
      </c>
      <c r="C68" s="26" t="n">
        <v>5.21</v>
      </c>
      <c r="D68" s="27" t="n">
        <v>15.5</v>
      </c>
      <c r="E68" s="26" t="n">
        <v>2.62</v>
      </c>
      <c r="F68" s="27" t="n">
        <v>10.1</v>
      </c>
      <c r="G68" s="28" t="n">
        <v>8.33</v>
      </c>
      <c r="H68" s="29">
        <f>IFERROR(G68/(C68+E68),0)</f>
        <v/>
      </c>
      <c r="I68" s="29">
        <f>IFERROR((G68-(C68+E68)*Assumptions!$B$13)/((D68+F68)/60),0)</f>
        <v/>
      </c>
      <c r="J68" s="25" t="inlineStr">
        <is>
          <t>Passed</t>
        </is>
      </c>
      <c r="K68" s="29" t="n"/>
      <c r="L68" s="29" t="n"/>
      <c r="M68" s="29">
        <f>IF(J68="Took",L68,ROUND(G68*(1+Assumptions!$B$14)-(C68+E68)*Assumptions!$B$13,2))</f>
        <v/>
      </c>
      <c r="N68" s="25" t="inlineStr">
        <is>
          <t>Skip</t>
        </is>
      </c>
      <c r="O68" s="25" t="inlineStr">
        <is>
          <t>Skip</t>
        </is>
      </c>
      <c r="P68" s="25" t="inlineStr">
        <is>
          <t>Take</t>
        </is>
      </c>
      <c r="Q68" s="25" t="inlineStr">
        <is>
          <t>Skip</t>
        </is>
      </c>
      <c r="R68" s="25" t="inlineStr">
        <is>
          <t>Busy</t>
        </is>
      </c>
      <c r="S68" s="25" t="inlineStr">
        <is>
          <t>41d7d8</t>
        </is>
      </c>
    </row>
    <row r="69">
      <c r="A69" s="30" t="n">
        <v>46306.30555555555</v>
      </c>
      <c r="B69" s="12" t="inlineStr">
        <is>
          <t>Lyft</t>
        </is>
      </c>
      <c r="C69" s="31" t="n">
        <v>1.16</v>
      </c>
      <c r="D69" s="22" t="n">
        <v>5.7</v>
      </c>
      <c r="E69" s="31" t="n">
        <v>22.32</v>
      </c>
      <c r="F69" s="22" t="n">
        <v>53.5</v>
      </c>
      <c r="G69" s="32" t="n">
        <v>15.76</v>
      </c>
      <c r="H69" s="33">
        <f>IFERROR(G69/(C69+E69),0)</f>
        <v/>
      </c>
      <c r="I69" s="33">
        <f>IFERROR((G69-(C69+E69)*Assumptions!$B$13)/((D69+F69)/60),0)</f>
        <v/>
      </c>
      <c r="J69" s="12" t="inlineStr">
        <is>
          <t>Took</t>
        </is>
      </c>
      <c r="K69" s="32" t="n">
        <v>15.76</v>
      </c>
      <c r="L69" s="32" t="n">
        <v>9.19</v>
      </c>
      <c r="M69" s="33">
        <f>IF(J69="Took",L69,ROUND(G69*(1+Assumptions!$B$14)-(C69+E69)*Assumptions!$B$13,2))</f>
        <v/>
      </c>
      <c r="N69" s="12" t="inlineStr">
        <is>
          <t>Take</t>
        </is>
      </c>
      <c r="O69" s="12" t="inlineStr">
        <is>
          <t>Take</t>
        </is>
      </c>
      <c r="P69" s="12" t="inlineStr">
        <is>
          <t>Skip</t>
        </is>
      </c>
      <c r="Q69" s="12" t="inlineStr">
        <is>
          <t>Skip</t>
        </is>
      </c>
      <c r="R69" s="12" t="inlineStr">
        <is>
          <t>Take</t>
        </is>
      </c>
      <c r="S69" s="12" t="inlineStr">
        <is>
          <t>7b44a3</t>
        </is>
      </c>
    </row>
    <row r="70">
      <c r="A70" s="24" t="n">
        <v>46306.43402777778</v>
      </c>
      <c r="B70" s="25" t="inlineStr">
        <is>
          <t>Uber</t>
        </is>
      </c>
      <c r="C70" s="26" t="n">
        <v>2.09</v>
      </c>
      <c r="D70" s="27" t="n">
        <v>7.4</v>
      </c>
      <c r="E70" s="26" t="n">
        <v>13.24</v>
      </c>
      <c r="F70" s="27" t="n">
        <v>36</v>
      </c>
      <c r="G70" s="28" t="n">
        <v>24.96</v>
      </c>
      <c r="H70" s="29">
        <f>IFERROR(G70/(C70+E70),0)</f>
        <v/>
      </c>
      <c r="I70" s="29">
        <f>IFERROR((G70-(C70+E70)*Assumptions!$B$13)/((D70+F70)/60),0)</f>
        <v/>
      </c>
      <c r="J70" s="25" t="inlineStr">
        <is>
          <t>Passed</t>
        </is>
      </c>
      <c r="K70" s="29" t="n"/>
      <c r="L70" s="29" t="n"/>
      <c r="M70" s="29">
        <f>IF(J70="Took",L70,ROUND(G70*(1+Assumptions!$B$14)-(C70+E70)*Assumptions!$B$13,2))</f>
        <v/>
      </c>
      <c r="N70" s="25" t="inlineStr">
        <is>
          <t>Busy</t>
        </is>
      </c>
      <c r="O70" s="25" t="inlineStr">
        <is>
          <t>Skip</t>
        </is>
      </c>
      <c r="P70" s="25" t="inlineStr">
        <is>
          <t>Busy</t>
        </is>
      </c>
      <c r="Q70" s="25" t="inlineStr">
        <is>
          <t>Busy</t>
        </is>
      </c>
      <c r="R70" s="25" t="inlineStr">
        <is>
          <t>Busy</t>
        </is>
      </c>
      <c r="S70" s="25" t="inlineStr">
        <is>
          <t>5124e9</t>
        </is>
      </c>
    </row>
    <row r="71">
      <c r="A71" s="30" t="n">
        <v>46306.44236111111</v>
      </c>
      <c r="B71" s="12" t="inlineStr">
        <is>
          <t>Lyft</t>
        </is>
      </c>
      <c r="C71" s="31" t="n">
        <v>0.34</v>
      </c>
      <c r="D71" s="22" t="n">
        <v>3.4</v>
      </c>
      <c r="E71" s="31" t="n">
        <v>15.62</v>
      </c>
      <c r="F71" s="22" t="n">
        <v>41</v>
      </c>
      <c r="G71" s="32" t="n">
        <v>35.46</v>
      </c>
      <c r="H71" s="33">
        <f>IFERROR(G71/(C71+E71),0)</f>
        <v/>
      </c>
      <c r="I71" s="33">
        <f>IFERROR((G71-(C71+E71)*Assumptions!$B$13)/((D71+F71)/60),0)</f>
        <v/>
      </c>
      <c r="J71" s="12" t="inlineStr">
        <is>
          <t>Took</t>
        </is>
      </c>
      <c r="K71" s="32" t="n">
        <v>35.46</v>
      </c>
      <c r="L71" s="32" t="n">
        <v>30.99</v>
      </c>
      <c r="M71" s="33">
        <f>IF(J71="Took",L71,ROUND(G71*(1+Assumptions!$B$14)-(C71+E71)*Assumptions!$B$13,2))</f>
        <v/>
      </c>
      <c r="N71" s="12" t="inlineStr">
        <is>
          <t>Take</t>
        </is>
      </c>
      <c r="O71" s="12" t="inlineStr">
        <is>
          <t>Take</t>
        </is>
      </c>
      <c r="P71" s="12" t="inlineStr">
        <is>
          <t>Take</t>
        </is>
      </c>
      <c r="Q71" s="12" t="inlineStr">
        <is>
          <t>Take</t>
        </is>
      </c>
      <c r="R71" s="12" t="inlineStr">
        <is>
          <t>Take</t>
        </is>
      </c>
      <c r="S71" s="12" t="inlineStr">
        <is>
          <t>91d3fa</t>
        </is>
      </c>
    </row>
    <row r="72">
      <c r="A72" s="24" t="n">
        <v>46306.51666666667</v>
      </c>
      <c r="B72" s="25" t="inlineStr">
        <is>
          <t>Lyft</t>
        </is>
      </c>
      <c r="C72" s="26" t="n">
        <v>1.4</v>
      </c>
      <c r="D72" s="27" t="n">
        <v>5.6</v>
      </c>
      <c r="E72" s="26" t="n">
        <v>24.66</v>
      </c>
      <c r="F72" s="27" t="n">
        <v>61</v>
      </c>
      <c r="G72" s="28" t="n">
        <v>44.16</v>
      </c>
      <c r="H72" s="29">
        <f>IFERROR(G72/(C72+E72),0)</f>
        <v/>
      </c>
      <c r="I72" s="29">
        <f>IFERROR((G72-(C72+E72)*Assumptions!$B$13)/((D72+F72)/60),0)</f>
        <v/>
      </c>
      <c r="J72" s="25" t="inlineStr">
        <is>
          <t>Passed</t>
        </is>
      </c>
      <c r="K72" s="29" t="n"/>
      <c r="L72" s="29" t="n"/>
      <c r="M72" s="29">
        <f>IF(J72="Took",L72,ROUND(G72*(1+Assumptions!$B$14)-(C72+E72)*Assumptions!$B$13,2))</f>
        <v/>
      </c>
      <c r="N72" s="25" t="inlineStr">
        <is>
          <t>Busy</t>
        </is>
      </c>
      <c r="O72" s="25" t="inlineStr">
        <is>
          <t>Busy</t>
        </is>
      </c>
      <c r="P72" s="25" t="inlineStr">
        <is>
          <t>Busy</t>
        </is>
      </c>
      <c r="Q72" s="25" t="inlineStr">
        <is>
          <t>Busy</t>
        </is>
      </c>
      <c r="R72" s="25" t="inlineStr">
        <is>
          <t>Busy</t>
        </is>
      </c>
      <c r="S72" s="25" t="inlineStr">
        <is>
          <t>cecb29</t>
        </is>
      </c>
    </row>
    <row r="73">
      <c r="A73" s="30" t="n">
        <v>46306.52291666667</v>
      </c>
      <c r="B73" s="12" t="inlineStr">
        <is>
          <t>Uber</t>
        </is>
      </c>
      <c r="C73" s="31" t="n">
        <v>0.63</v>
      </c>
      <c r="D73" s="22" t="n">
        <v>4</v>
      </c>
      <c r="E73" s="31" t="n">
        <v>12.49</v>
      </c>
      <c r="F73" s="22" t="n">
        <v>35.6</v>
      </c>
      <c r="G73" s="32" t="n">
        <v>27.69</v>
      </c>
      <c r="H73" s="33">
        <f>IFERROR(G73/(C73+E73),0)</f>
        <v/>
      </c>
      <c r="I73" s="33">
        <f>IFERROR((G73-(C73+E73)*Assumptions!$B$13)/((D73+F73)/60),0)</f>
        <v/>
      </c>
      <c r="J73" s="12" t="inlineStr">
        <is>
          <t>Took</t>
        </is>
      </c>
      <c r="K73" s="32" t="n">
        <v>27.69</v>
      </c>
      <c r="L73" s="32" t="n">
        <v>24.03</v>
      </c>
      <c r="M73" s="33">
        <f>IF(J73="Took",L73,ROUND(G73*(1+Assumptions!$B$14)-(C73+E73)*Assumptions!$B$13,2))</f>
        <v/>
      </c>
      <c r="N73" s="12" t="inlineStr">
        <is>
          <t>Take</t>
        </is>
      </c>
      <c r="O73" s="12" t="inlineStr">
        <is>
          <t>Take</t>
        </is>
      </c>
      <c r="P73" s="12" t="inlineStr">
        <is>
          <t>Take</t>
        </is>
      </c>
      <c r="Q73" s="12" t="inlineStr">
        <is>
          <t>Take</t>
        </is>
      </c>
      <c r="R73" s="12" t="inlineStr">
        <is>
          <t>Take</t>
        </is>
      </c>
      <c r="S73" s="12" t="inlineStr">
        <is>
          <t>ffd76d</t>
        </is>
      </c>
    </row>
    <row r="74">
      <c r="A74" s="24" t="n">
        <v>46306.61597222222</v>
      </c>
      <c r="B74" s="25" t="inlineStr">
        <is>
          <t>Uber</t>
        </is>
      </c>
      <c r="C74" s="26" t="n">
        <v>2.89</v>
      </c>
      <c r="D74" s="27" t="n">
        <v>10.5</v>
      </c>
      <c r="E74" s="26" t="n">
        <v>10.69</v>
      </c>
      <c r="F74" s="27" t="n">
        <v>32.5</v>
      </c>
      <c r="G74" s="28" t="n">
        <v>17.63</v>
      </c>
      <c r="H74" s="29">
        <f>IFERROR(G74/(C74+E74),0)</f>
        <v/>
      </c>
      <c r="I74" s="29">
        <f>IFERROR((G74-(C74+E74)*Assumptions!$B$13)/((D74+F74)/60),0)</f>
        <v/>
      </c>
      <c r="J74" s="25" t="inlineStr">
        <is>
          <t>Took</t>
        </is>
      </c>
      <c r="K74" s="28" t="n">
        <v>28.7</v>
      </c>
      <c r="L74" s="28" t="n">
        <v>24.89</v>
      </c>
      <c r="M74" s="29">
        <f>IF(J74="Took",L74,ROUND(G74*(1+Assumptions!$B$14)-(C74+E74)*Assumptions!$B$13,2))</f>
        <v/>
      </c>
      <c r="N74" s="25" t="inlineStr">
        <is>
          <t>Take</t>
        </is>
      </c>
      <c r="O74" s="25" t="inlineStr">
        <is>
          <t>Skip</t>
        </is>
      </c>
      <c r="P74" s="25" t="inlineStr">
        <is>
          <t>Take</t>
        </is>
      </c>
      <c r="Q74" s="25" t="inlineStr">
        <is>
          <t>Skip</t>
        </is>
      </c>
      <c r="R74" s="25" t="inlineStr">
        <is>
          <t>Take</t>
        </is>
      </c>
      <c r="S74" s="25" t="inlineStr">
        <is>
          <t>f937b0</t>
        </is>
      </c>
    </row>
    <row r="75">
      <c r="A75" s="30" t="n">
        <v>46306.65694444445</v>
      </c>
      <c r="B75" s="12" t="inlineStr">
        <is>
          <t>Uber</t>
        </is>
      </c>
      <c r="C75" s="31" t="n">
        <v>2.8</v>
      </c>
      <c r="D75" s="22" t="n">
        <v>9.300000000000001</v>
      </c>
      <c r="E75" s="31" t="n">
        <v>5.37</v>
      </c>
      <c r="F75" s="22" t="n">
        <v>15</v>
      </c>
      <c r="G75" s="32" t="n">
        <v>12.54</v>
      </c>
      <c r="H75" s="33">
        <f>IFERROR(G75/(C75+E75),0)</f>
        <v/>
      </c>
      <c r="I75" s="33">
        <f>IFERROR((G75-(C75+E75)*Assumptions!$B$13)/((D75+F75)/60),0)</f>
        <v/>
      </c>
      <c r="J75" s="12" t="inlineStr">
        <is>
          <t>Passed</t>
        </is>
      </c>
      <c r="K75" s="33" t="n"/>
      <c r="L75" s="33" t="n"/>
      <c r="M75" s="33">
        <f>IF(J75="Took",L75,ROUND(G75*(1+Assumptions!$B$14)-(C75+E75)*Assumptions!$B$13,2))</f>
        <v/>
      </c>
      <c r="N75" s="12" t="inlineStr">
        <is>
          <t>Take</t>
        </is>
      </c>
      <c r="O75" s="12" t="inlineStr">
        <is>
          <t>Skip</t>
        </is>
      </c>
      <c r="P75" s="12" t="inlineStr">
        <is>
          <t>Busy</t>
        </is>
      </c>
      <c r="Q75" s="12" t="inlineStr">
        <is>
          <t>Busy</t>
        </is>
      </c>
      <c r="R75" s="12" t="inlineStr">
        <is>
          <t>Busy</t>
        </is>
      </c>
      <c r="S75" s="12" t="inlineStr">
        <is>
          <t>ebb555</t>
        </is>
      </c>
    </row>
    <row r="76">
      <c r="A76" s="24" t="n">
        <v>46306.66111111111</v>
      </c>
      <c r="B76" s="25" t="inlineStr">
        <is>
          <t>Lyft</t>
        </is>
      </c>
      <c r="C76" s="26" t="n">
        <v>3.25</v>
      </c>
      <c r="D76" s="27" t="n">
        <v>10.1</v>
      </c>
      <c r="E76" s="26" t="n">
        <v>8.449999999999999</v>
      </c>
      <c r="F76" s="27" t="n">
        <v>26.1</v>
      </c>
      <c r="G76" s="28" t="n">
        <v>17.75</v>
      </c>
      <c r="H76" s="29">
        <f>IFERROR(G76/(C76+E76),0)</f>
        <v/>
      </c>
      <c r="I76" s="29">
        <f>IFERROR((G76-(C76+E76)*Assumptions!$B$13)/((D76+F76)/60),0)</f>
        <v/>
      </c>
      <c r="J76" s="25" t="inlineStr">
        <is>
          <t>Took</t>
        </is>
      </c>
      <c r="K76" s="28" t="n">
        <v>20.01</v>
      </c>
      <c r="L76" s="28" t="n">
        <v>16.72</v>
      </c>
      <c r="M76" s="29">
        <f>IF(J76="Took",L76,ROUND(G76*(1+Assumptions!$B$14)-(C76+E76)*Assumptions!$B$13,2))</f>
        <v/>
      </c>
      <c r="N76" s="25" t="inlineStr">
        <is>
          <t>Skip</t>
        </is>
      </c>
      <c r="O76" s="25" t="inlineStr">
        <is>
          <t>Skip</t>
        </is>
      </c>
      <c r="P76" s="25" t="inlineStr">
        <is>
          <t>Take</t>
        </is>
      </c>
      <c r="Q76" s="25" t="inlineStr">
        <is>
          <t>Take</t>
        </is>
      </c>
      <c r="R76" s="25" t="inlineStr">
        <is>
          <t>Take</t>
        </is>
      </c>
      <c r="S76" s="25" t="inlineStr">
        <is>
          <t>8b06b4</t>
        </is>
      </c>
    </row>
    <row r="77">
      <c r="A77" s="30" t="n">
        <v>46306.7375</v>
      </c>
      <c r="B77" s="12" t="inlineStr">
        <is>
          <t>Lyft</t>
        </is>
      </c>
      <c r="C77" s="31" t="n">
        <v>2.6</v>
      </c>
      <c r="D77" s="22" t="n">
        <v>8.800000000000001</v>
      </c>
      <c r="E77" s="31" t="n">
        <v>21.01</v>
      </c>
      <c r="F77" s="22" t="n">
        <v>52</v>
      </c>
      <c r="G77" s="32" t="n">
        <v>36.71</v>
      </c>
      <c r="H77" s="33">
        <f>IFERROR(G77/(C77+E77),0)</f>
        <v/>
      </c>
      <c r="I77" s="33">
        <f>IFERROR((G77-(C77+E77)*Assumptions!$B$13)/((D77+F77)/60),0)</f>
        <v/>
      </c>
      <c r="J77" s="12" t="inlineStr">
        <is>
          <t>Passed</t>
        </is>
      </c>
      <c r="K77" s="33" t="n"/>
      <c r="L77" s="33" t="n"/>
      <c r="M77" s="33">
        <f>IF(J77="Took",L77,ROUND(G77*(1+Assumptions!$B$14)-(C77+E77)*Assumptions!$B$13,2))</f>
        <v/>
      </c>
      <c r="N77" s="12" t="inlineStr">
        <is>
          <t>Busy</t>
        </is>
      </c>
      <c r="O77" s="12" t="inlineStr">
        <is>
          <t>Skip</t>
        </is>
      </c>
      <c r="P77" s="12" t="inlineStr">
        <is>
          <t>Busy</t>
        </is>
      </c>
      <c r="Q77" s="12" t="inlineStr">
        <is>
          <t>Busy</t>
        </is>
      </c>
      <c r="R77" s="12" t="inlineStr">
        <is>
          <t>Busy</t>
        </is>
      </c>
      <c r="S77" s="12" t="inlineStr">
        <is>
          <t>83ead4</t>
        </is>
      </c>
    </row>
    <row r="78">
      <c r="A78" s="24" t="n">
        <v>46306.74097222222</v>
      </c>
      <c r="B78" s="25" t="inlineStr">
        <is>
          <t>Uber</t>
        </is>
      </c>
      <c r="C78" s="26" t="n">
        <v>1.32</v>
      </c>
      <c r="D78" s="27" t="n">
        <v>6.4</v>
      </c>
      <c r="E78" s="26" t="n">
        <v>8.800000000000001</v>
      </c>
      <c r="F78" s="27" t="n">
        <v>27.5</v>
      </c>
      <c r="G78" s="28" t="n">
        <v>19.39</v>
      </c>
      <c r="H78" s="29">
        <f>IFERROR(G78/(C78+E78),0)</f>
        <v/>
      </c>
      <c r="I78" s="29">
        <f>IFERROR((G78-(C78+E78)*Assumptions!$B$13)/((D78+F78)/60),0)</f>
        <v/>
      </c>
      <c r="J78" s="25" t="inlineStr">
        <is>
          <t>Took</t>
        </is>
      </c>
      <c r="K78" s="28" t="n">
        <v>25.81</v>
      </c>
      <c r="L78" s="28" t="n">
        <v>22.98</v>
      </c>
      <c r="M78" s="29">
        <f>IF(J78="Took",L78,ROUND(G78*(1+Assumptions!$B$14)-(C78+E78)*Assumptions!$B$13,2))</f>
        <v/>
      </c>
      <c r="N78" s="25" t="inlineStr">
        <is>
          <t>Take</t>
        </is>
      </c>
      <c r="O78" s="25" t="inlineStr">
        <is>
          <t>Take</t>
        </is>
      </c>
      <c r="P78" s="25" t="inlineStr">
        <is>
          <t>Take</t>
        </is>
      </c>
      <c r="Q78" s="25" t="inlineStr">
        <is>
          <t>Take</t>
        </is>
      </c>
      <c r="R78" s="25" t="inlineStr">
        <is>
          <t>Take</t>
        </is>
      </c>
      <c r="S78" s="25" t="inlineStr">
        <is>
          <t>acc58c</t>
        </is>
      </c>
    </row>
    <row r="79">
      <c r="A79" s="30" t="n">
        <v>46306.8375</v>
      </c>
      <c r="B79" s="12" t="inlineStr">
        <is>
          <t>Lyft</t>
        </is>
      </c>
      <c r="C79" s="31" t="n">
        <v>2.34</v>
      </c>
      <c r="D79" s="22" t="n">
        <v>8.1</v>
      </c>
      <c r="E79" s="31" t="n">
        <v>4.22</v>
      </c>
      <c r="F79" s="22" t="n">
        <v>16.7</v>
      </c>
      <c r="G79" s="32" t="n">
        <v>12.3</v>
      </c>
      <c r="H79" s="33">
        <f>IFERROR(G79/(C79+E79),0)</f>
        <v/>
      </c>
      <c r="I79" s="33">
        <f>IFERROR((G79-(C79+E79)*Assumptions!$B$13)/((D79+F79)/60),0)</f>
        <v/>
      </c>
      <c r="J79" s="12" t="inlineStr">
        <is>
          <t>Passed</t>
        </is>
      </c>
      <c r="K79" s="33" t="n"/>
      <c r="L79" s="33" t="n"/>
      <c r="M79" s="33">
        <f>IF(J79="Took",L79,ROUND(G79*(1+Assumptions!$B$14)-(C79+E79)*Assumptions!$B$13,2))</f>
        <v/>
      </c>
      <c r="N79" s="12" t="inlineStr">
        <is>
          <t>Busy</t>
        </is>
      </c>
      <c r="O79" s="12" t="inlineStr">
        <is>
          <t>Skip</t>
        </is>
      </c>
      <c r="P79" s="12" t="inlineStr">
        <is>
          <t>Busy</t>
        </is>
      </c>
      <c r="Q79" s="12" t="inlineStr">
        <is>
          <t>Take</t>
        </is>
      </c>
      <c r="R79" s="12" t="inlineStr">
        <is>
          <t>Busy</t>
        </is>
      </c>
      <c r="S79" s="12" t="inlineStr">
        <is>
          <t>baae95</t>
        </is>
      </c>
    </row>
    <row r="80">
      <c r="A80" s="24" t="n">
        <v>46306.84375</v>
      </c>
      <c r="B80" s="25" t="inlineStr">
        <is>
          <t>Uber</t>
        </is>
      </c>
      <c r="C80" s="26" t="n">
        <v>1.9</v>
      </c>
      <c r="D80" s="27" t="n">
        <v>6.5</v>
      </c>
      <c r="E80" s="26" t="n">
        <v>8.74</v>
      </c>
      <c r="F80" s="27" t="n">
        <v>23.1</v>
      </c>
      <c r="G80" s="28" t="n">
        <v>11.92</v>
      </c>
      <c r="H80" s="29">
        <f>IFERROR(G80/(C80+E80),0)</f>
        <v/>
      </c>
      <c r="I80" s="29">
        <f>IFERROR((G80-(C80+E80)*Assumptions!$B$13)/((D80+F80)/60),0)</f>
        <v/>
      </c>
      <c r="J80" s="25" t="inlineStr">
        <is>
          <t>Took</t>
        </is>
      </c>
      <c r="K80" s="28" t="n">
        <v>11.92</v>
      </c>
      <c r="L80" s="28" t="n">
        <v>8.949999999999999</v>
      </c>
      <c r="M80" s="29">
        <f>IF(J80="Took",L80,ROUND(G80*(1+Assumptions!$B$14)-(C80+E80)*Assumptions!$B$13,2))</f>
        <v/>
      </c>
      <c r="N80" s="25" t="inlineStr">
        <is>
          <t>Take</t>
        </is>
      </c>
      <c r="O80" s="25" t="inlineStr">
        <is>
          <t>Take</t>
        </is>
      </c>
      <c r="P80" s="25" t="inlineStr">
        <is>
          <t>Take</t>
        </is>
      </c>
      <c r="Q80" s="25" t="inlineStr">
        <is>
          <t>Skip</t>
        </is>
      </c>
      <c r="R80" s="25" t="inlineStr">
        <is>
          <t>Take</t>
        </is>
      </c>
      <c r="S80" s="25" t="inlineStr">
        <is>
          <t>47a64b</t>
        </is>
      </c>
    </row>
    <row r="81">
      <c r="A81" s="30" t="n">
        <v>46306.91111111111</v>
      </c>
      <c r="B81" s="12" t="inlineStr">
        <is>
          <t>Lyft</t>
        </is>
      </c>
      <c r="C81" s="31" t="n">
        <v>3.65</v>
      </c>
      <c r="D81" s="22" t="n">
        <v>11.5</v>
      </c>
      <c r="E81" s="31" t="n">
        <v>10.37</v>
      </c>
      <c r="F81" s="22" t="n">
        <v>29</v>
      </c>
      <c r="G81" s="32" t="n">
        <v>20.42</v>
      </c>
      <c r="H81" s="33">
        <f>IFERROR(G81/(C81+E81),0)</f>
        <v/>
      </c>
      <c r="I81" s="33">
        <f>IFERROR((G81-(C81+E81)*Assumptions!$B$13)/((D81+F81)/60),0)</f>
        <v/>
      </c>
      <c r="J81" s="12" t="inlineStr">
        <is>
          <t>Passed</t>
        </is>
      </c>
      <c r="K81" s="33" t="n"/>
      <c r="L81" s="33" t="n"/>
      <c r="M81" s="33">
        <f>IF(J81="Took",L81,ROUND(G81*(1+Assumptions!$B$14)-(C81+E81)*Assumptions!$B$13,2))</f>
        <v/>
      </c>
      <c r="N81" s="12" t="inlineStr">
        <is>
          <t>Skip</t>
        </is>
      </c>
      <c r="O81" s="12" t="inlineStr">
        <is>
          <t>Skip</t>
        </is>
      </c>
      <c r="P81" s="12" t="inlineStr">
        <is>
          <t>Busy</t>
        </is>
      </c>
      <c r="Q81" s="12" t="inlineStr">
        <is>
          <t>Busy</t>
        </is>
      </c>
      <c r="R81" s="12" t="inlineStr">
        <is>
          <t>Busy</t>
        </is>
      </c>
      <c r="S81" s="12" t="inlineStr">
        <is>
          <t>31c8bc</t>
        </is>
      </c>
    </row>
    <row r="82">
      <c r="A82" s="24" t="n">
        <v>46306.91458333333</v>
      </c>
      <c r="B82" s="25" t="inlineStr">
        <is>
          <t>Uber</t>
        </is>
      </c>
      <c r="C82" s="26" t="n">
        <v>3.75</v>
      </c>
      <c r="D82" s="27" t="n">
        <v>12</v>
      </c>
      <c r="E82" s="26" t="n">
        <v>29.01</v>
      </c>
      <c r="F82" s="27" t="n">
        <v>69.2</v>
      </c>
      <c r="G82" s="28" t="n">
        <v>38.42</v>
      </c>
      <c r="H82" s="29">
        <f>IFERROR(G82/(C82+E82),0)</f>
        <v/>
      </c>
      <c r="I82" s="29">
        <f>IFERROR((G82-(C82+E82)*Assumptions!$B$13)/((D82+F82)/60),0)</f>
        <v/>
      </c>
      <c r="J82" s="25" t="inlineStr">
        <is>
          <t>Took</t>
        </is>
      </c>
      <c r="K82" s="28" t="n">
        <v>48.57</v>
      </c>
      <c r="L82" s="28" t="n">
        <v>39.41</v>
      </c>
      <c r="M82" s="29">
        <f>IF(J82="Took",L82,ROUND(G82*(1+Assumptions!$B$14)-(C82+E82)*Assumptions!$B$13,2))</f>
        <v/>
      </c>
      <c r="N82" s="25" t="inlineStr">
        <is>
          <t>Skip</t>
        </is>
      </c>
      <c r="O82" s="25" t="inlineStr">
        <is>
          <t>Skip</t>
        </is>
      </c>
      <c r="P82" s="25" t="inlineStr">
        <is>
          <t>Take</t>
        </is>
      </c>
      <c r="Q82" s="25" t="inlineStr">
        <is>
          <t>Take</t>
        </is>
      </c>
      <c r="R82" s="25" t="inlineStr">
        <is>
          <t>Take</t>
        </is>
      </c>
      <c r="S82" s="25" t="inlineStr">
        <is>
          <t>01d51b</t>
        </is>
      </c>
    </row>
    <row r="83">
      <c r="A83" s="30" t="n">
        <v>46308.24375</v>
      </c>
      <c r="B83" s="12" t="inlineStr">
        <is>
          <t>Lyft</t>
        </is>
      </c>
      <c r="C83" s="31" t="n">
        <v>1.47</v>
      </c>
      <c r="D83" s="22" t="n">
        <v>5.8</v>
      </c>
      <c r="E83" s="31" t="n">
        <v>14.97</v>
      </c>
      <c r="F83" s="22" t="n">
        <v>39</v>
      </c>
      <c r="G83" s="32" t="n">
        <v>27.4</v>
      </c>
      <c r="H83" s="33">
        <f>IFERROR(G83/(C83+E83),0)</f>
        <v/>
      </c>
      <c r="I83" s="33">
        <f>IFERROR((G83-(C83+E83)*Assumptions!$B$13)/((D83+F83)/60),0)</f>
        <v/>
      </c>
      <c r="J83" s="12" t="inlineStr">
        <is>
          <t>Passed</t>
        </is>
      </c>
      <c r="K83" s="33" t="n"/>
      <c r="L83" s="33" t="n"/>
      <c r="M83" s="33">
        <f>IF(J83="Took",L83,ROUND(G83*(1+Assumptions!$B$14)-(C83+E83)*Assumptions!$B$13,2))</f>
        <v/>
      </c>
      <c r="N83" s="12" t="inlineStr">
        <is>
          <t>Busy</t>
        </is>
      </c>
      <c r="O83" s="12" t="inlineStr">
        <is>
          <t>Busy</t>
        </is>
      </c>
      <c r="P83" s="12" t="inlineStr">
        <is>
          <t>Busy</t>
        </is>
      </c>
      <c r="Q83" s="12" t="inlineStr">
        <is>
          <t>Busy</t>
        </is>
      </c>
      <c r="R83" s="12" t="inlineStr">
        <is>
          <t>Busy</t>
        </is>
      </c>
      <c r="S83" s="12" t="inlineStr">
        <is>
          <t>2f33e3</t>
        </is>
      </c>
    </row>
    <row r="84">
      <c r="A84" s="24" t="n">
        <v>46308.25277777778</v>
      </c>
      <c r="B84" s="25" t="inlineStr">
        <is>
          <t>Lyft</t>
        </is>
      </c>
      <c r="C84" s="26" t="n">
        <v>0.82</v>
      </c>
      <c r="D84" s="27" t="n">
        <v>3.4</v>
      </c>
      <c r="E84" s="26" t="n">
        <v>6.47</v>
      </c>
      <c r="F84" s="27" t="n">
        <v>19.6</v>
      </c>
      <c r="G84" s="28" t="n">
        <v>40.61</v>
      </c>
      <c r="H84" s="29">
        <f>IFERROR(G84/(C84+E84),0)</f>
        <v/>
      </c>
      <c r="I84" s="29">
        <f>IFERROR((G84-(C84+E84)*Assumptions!$B$13)/((D84+F84)/60),0)</f>
        <v/>
      </c>
      <c r="J84" s="25" t="inlineStr">
        <is>
          <t>Took</t>
        </is>
      </c>
      <c r="K84" s="28" t="n">
        <v>47.17</v>
      </c>
      <c r="L84" s="28" t="n">
        <v>45.14</v>
      </c>
      <c r="M84" s="29">
        <f>IF(J84="Took",L84,ROUND(G84*(1+Assumptions!$B$14)-(C84+E84)*Assumptions!$B$13,2))</f>
        <v/>
      </c>
      <c r="N84" s="25" t="inlineStr">
        <is>
          <t>Take</t>
        </is>
      </c>
      <c r="O84" s="25" t="inlineStr">
        <is>
          <t>Take</t>
        </is>
      </c>
      <c r="P84" s="25" t="inlineStr">
        <is>
          <t>Take</t>
        </is>
      </c>
      <c r="Q84" s="25" t="inlineStr">
        <is>
          <t>Take</t>
        </is>
      </c>
      <c r="R84" s="25" t="inlineStr">
        <is>
          <t>Take</t>
        </is>
      </c>
      <c r="S84" s="25" t="inlineStr">
        <is>
          <t>bd8c1a</t>
        </is>
      </c>
    </row>
    <row r="85">
      <c r="A85" s="30" t="n">
        <v>46308.62222222222</v>
      </c>
      <c r="B85" s="12" t="inlineStr">
        <is>
          <t>Lyft</t>
        </is>
      </c>
      <c r="C85" s="31" t="n">
        <v>1.78</v>
      </c>
      <c r="D85" s="22" t="n">
        <v>6.6</v>
      </c>
      <c r="E85" s="31" t="n">
        <v>12.11</v>
      </c>
      <c r="F85" s="22" t="n">
        <v>30.4</v>
      </c>
      <c r="G85" s="32" t="n">
        <v>22.64</v>
      </c>
      <c r="H85" s="33">
        <f>IFERROR(G85/(C85+E85),0)</f>
        <v/>
      </c>
      <c r="I85" s="33">
        <f>IFERROR((G85-(C85+E85)*Assumptions!$B$13)/((D85+F85)/60),0)</f>
        <v/>
      </c>
      <c r="J85" s="12" t="inlineStr">
        <is>
          <t>Passed</t>
        </is>
      </c>
      <c r="K85" s="33" t="n"/>
      <c r="L85" s="33" t="n"/>
      <c r="M85" s="33">
        <f>IF(J85="Took",L85,ROUND(G85*(1+Assumptions!$B$14)-(C85+E85)*Assumptions!$B$13,2))</f>
        <v/>
      </c>
      <c r="N85" s="12" t="inlineStr">
        <is>
          <t>Busy</t>
        </is>
      </c>
      <c r="O85" s="12" t="inlineStr">
        <is>
          <t>Busy</t>
        </is>
      </c>
      <c r="P85" s="12" t="inlineStr">
        <is>
          <t>Busy</t>
        </is>
      </c>
      <c r="Q85" s="12" t="inlineStr">
        <is>
          <t>Busy</t>
        </is>
      </c>
      <c r="R85" s="12" t="inlineStr">
        <is>
          <t>Busy</t>
        </is>
      </c>
      <c r="S85" s="12" t="inlineStr">
        <is>
          <t>267448</t>
        </is>
      </c>
    </row>
    <row r="86">
      <c r="A86" s="24" t="n">
        <v>46308.62777777778</v>
      </c>
      <c r="B86" s="25" t="inlineStr">
        <is>
          <t>Lyft</t>
        </is>
      </c>
      <c r="C86" s="26" t="n">
        <v>0.84</v>
      </c>
      <c r="D86" s="27" t="n">
        <v>5</v>
      </c>
      <c r="E86" s="26" t="n">
        <v>9.19</v>
      </c>
      <c r="F86" s="27" t="n">
        <v>26.1</v>
      </c>
      <c r="G86" s="28" t="n">
        <v>15.34</v>
      </c>
      <c r="H86" s="29">
        <f>IFERROR(G86/(C86+E86),0)</f>
        <v/>
      </c>
      <c r="I86" s="29">
        <f>IFERROR((G86-(C86+E86)*Assumptions!$B$13)/((D86+F86)/60),0)</f>
        <v/>
      </c>
      <c r="J86" s="25" t="inlineStr">
        <is>
          <t>Took</t>
        </is>
      </c>
      <c r="K86" s="28" t="n">
        <v>15.34</v>
      </c>
      <c r="L86" s="28" t="n">
        <v>12.53</v>
      </c>
      <c r="M86" s="29">
        <f>IF(J86="Took",L86,ROUND(G86*(1+Assumptions!$B$14)-(C86+E86)*Assumptions!$B$13,2))</f>
        <v/>
      </c>
      <c r="N86" s="25" t="inlineStr">
        <is>
          <t>Take</t>
        </is>
      </c>
      <c r="O86" s="25" t="inlineStr">
        <is>
          <t>Take</t>
        </is>
      </c>
      <c r="P86" s="25" t="inlineStr">
        <is>
          <t>Take</t>
        </is>
      </c>
      <c r="Q86" s="25" t="inlineStr">
        <is>
          <t>Take</t>
        </is>
      </c>
      <c r="R86" s="25" t="inlineStr">
        <is>
          <t>Take</t>
        </is>
      </c>
      <c r="S86" s="25" t="inlineStr">
        <is>
          <t>527775</t>
        </is>
      </c>
    </row>
    <row r="87">
      <c r="A87" s="30" t="n">
        <v>46308.77152777778</v>
      </c>
      <c r="B87" s="12" t="inlineStr">
        <is>
          <t>Lyft</t>
        </is>
      </c>
      <c r="C87" s="31" t="n">
        <v>2.37</v>
      </c>
      <c r="D87" s="22" t="n">
        <v>9.1</v>
      </c>
      <c r="E87" s="31" t="n">
        <v>13.99</v>
      </c>
      <c r="F87" s="22" t="n">
        <v>35.5</v>
      </c>
      <c r="G87" s="32" t="n">
        <v>10.71</v>
      </c>
      <c r="H87" s="33">
        <f>IFERROR(G87/(C87+E87),0)</f>
        <v/>
      </c>
      <c r="I87" s="33">
        <f>IFERROR((G87-(C87+E87)*Assumptions!$B$13)/((D87+F87)/60),0)</f>
        <v/>
      </c>
      <c r="J87" s="12" t="inlineStr">
        <is>
          <t>Took</t>
        </is>
      </c>
      <c r="K87" s="32" t="n">
        <v>10.71</v>
      </c>
      <c r="L87" s="32" t="n">
        <v>6.13</v>
      </c>
      <c r="M87" s="33">
        <f>IF(J87="Took",L87,ROUND(G87*(1+Assumptions!$B$14)-(C87+E87)*Assumptions!$B$13,2))</f>
        <v/>
      </c>
      <c r="N87" s="12" t="inlineStr">
        <is>
          <t>Take</t>
        </is>
      </c>
      <c r="O87" s="12" t="inlineStr">
        <is>
          <t>Skip</t>
        </is>
      </c>
      <c r="P87" s="12" t="inlineStr">
        <is>
          <t>Skip</t>
        </is>
      </c>
      <c r="Q87" s="12" t="inlineStr">
        <is>
          <t>Skip</t>
        </is>
      </c>
      <c r="R87" s="12" t="inlineStr">
        <is>
          <t>Take</t>
        </is>
      </c>
      <c r="S87" s="12" t="inlineStr">
        <is>
          <t>d090ac</t>
        </is>
      </c>
    </row>
    <row r="88">
      <c r="A88" s="24" t="n">
        <v>46309.68055555555</v>
      </c>
      <c r="B88" s="25" t="inlineStr">
        <is>
          <t>Uber</t>
        </is>
      </c>
      <c r="C88" s="26" t="n">
        <v>1.6</v>
      </c>
      <c r="D88" s="27" t="n">
        <v>7.1</v>
      </c>
      <c r="E88" s="26" t="n">
        <v>12.07</v>
      </c>
      <c r="F88" s="27" t="n">
        <v>29.8</v>
      </c>
      <c r="G88" s="28" t="n">
        <v>12.36</v>
      </c>
      <c r="H88" s="29">
        <f>IFERROR(G88/(C88+E88),0)</f>
        <v/>
      </c>
      <c r="I88" s="29">
        <f>IFERROR((G88-(C88+E88)*Assumptions!$B$13)/((D88+F88)/60),0)</f>
        <v/>
      </c>
      <c r="J88" s="25" t="inlineStr">
        <is>
          <t>Took</t>
        </is>
      </c>
      <c r="K88" s="28" t="n">
        <v>12.36</v>
      </c>
      <c r="L88" s="28" t="n">
        <v>8.57</v>
      </c>
      <c r="M88" s="29">
        <f>IF(J88="Took",L88,ROUND(G88*(1+Assumptions!$B$14)-(C88+E88)*Assumptions!$B$13,2))</f>
        <v/>
      </c>
      <c r="N88" s="25" t="inlineStr">
        <is>
          <t>Take</t>
        </is>
      </c>
      <c r="O88" s="25" t="inlineStr">
        <is>
          <t>Take</t>
        </is>
      </c>
      <c r="P88" s="25" t="inlineStr">
        <is>
          <t>Skip</t>
        </is>
      </c>
      <c r="Q88" s="25" t="inlineStr">
        <is>
          <t>Skip</t>
        </is>
      </c>
      <c r="R88" s="25" t="inlineStr">
        <is>
          <t>Take</t>
        </is>
      </c>
      <c r="S88" s="25" t="inlineStr">
        <is>
          <t>80e7e4</t>
        </is>
      </c>
    </row>
    <row r="89">
      <c r="A89" s="30" t="n">
        <v>46309.68611111111</v>
      </c>
      <c r="B89" s="12" t="inlineStr">
        <is>
          <t>Uber</t>
        </is>
      </c>
      <c r="C89" s="31" t="n">
        <v>2.24</v>
      </c>
      <c r="D89" s="22" t="n">
        <v>7.8</v>
      </c>
      <c r="E89" s="31" t="n">
        <v>4.01</v>
      </c>
      <c r="F89" s="22" t="n">
        <v>12.6</v>
      </c>
      <c r="G89" s="32" t="n">
        <v>8.449999999999999</v>
      </c>
      <c r="H89" s="33">
        <f>IFERROR(G89/(C89+E89),0)</f>
        <v/>
      </c>
      <c r="I89" s="33">
        <f>IFERROR((G89-(C89+E89)*Assumptions!$B$13)/((D89+F89)/60),0)</f>
        <v/>
      </c>
      <c r="J89" s="12" t="inlineStr">
        <is>
          <t>Passed</t>
        </is>
      </c>
      <c r="K89" s="33" t="n"/>
      <c r="L89" s="33" t="n"/>
      <c r="M89" s="33">
        <f>IF(J89="Took",L89,ROUND(G89*(1+Assumptions!$B$14)-(C89+E89)*Assumptions!$B$13,2))</f>
        <v/>
      </c>
      <c r="N89" s="12" t="inlineStr">
        <is>
          <t>Busy</t>
        </is>
      </c>
      <c r="O89" s="12" t="inlineStr">
        <is>
          <t>Skip</t>
        </is>
      </c>
      <c r="P89" s="12" t="inlineStr">
        <is>
          <t>Take</t>
        </is>
      </c>
      <c r="Q89" s="12" t="inlineStr">
        <is>
          <t>Skip</t>
        </is>
      </c>
      <c r="R89" s="12" t="inlineStr">
        <is>
          <t>Busy</t>
        </is>
      </c>
      <c r="S89" s="12" t="inlineStr">
        <is>
          <t>8d4e35</t>
        </is>
      </c>
    </row>
    <row r="90">
      <c r="A90" s="24" t="n">
        <v>46309.69583333333</v>
      </c>
      <c r="B90" s="25" t="inlineStr">
        <is>
          <t>Uber</t>
        </is>
      </c>
      <c r="C90" s="26" t="n">
        <v>1.66</v>
      </c>
      <c r="D90" s="27" t="n">
        <v>6.2</v>
      </c>
      <c r="E90" s="26" t="n">
        <v>10.14</v>
      </c>
      <c r="F90" s="27" t="n">
        <v>29.7</v>
      </c>
      <c r="G90" s="28" t="n">
        <v>23.11</v>
      </c>
      <c r="H90" s="29">
        <f>IFERROR(G90/(C90+E90),0)</f>
        <v/>
      </c>
      <c r="I90" s="29">
        <f>IFERROR((G90-(C90+E90)*Assumptions!$B$13)/((D90+F90)/60),0)</f>
        <v/>
      </c>
      <c r="J90" s="25" t="inlineStr">
        <is>
          <t>Took</t>
        </is>
      </c>
      <c r="K90" s="28" t="n">
        <v>23.11</v>
      </c>
      <c r="L90" s="28" t="n">
        <v>19.81</v>
      </c>
      <c r="M90" s="29">
        <f>IF(J90="Took",L90,ROUND(G90*(1+Assumptions!$B$14)-(C90+E90)*Assumptions!$B$13,2))</f>
        <v/>
      </c>
      <c r="N90" s="25" t="inlineStr">
        <is>
          <t>Take</t>
        </is>
      </c>
      <c r="O90" s="25" t="inlineStr">
        <is>
          <t>Take</t>
        </is>
      </c>
      <c r="P90" s="25" t="inlineStr">
        <is>
          <t>Take</t>
        </is>
      </c>
      <c r="Q90" s="25" t="inlineStr">
        <is>
          <t>Take</t>
        </is>
      </c>
      <c r="R90" s="25" t="inlineStr">
        <is>
          <t>Take</t>
        </is>
      </c>
      <c r="S90" s="25" t="inlineStr">
        <is>
          <t>9b9af4</t>
        </is>
      </c>
    </row>
    <row r="91">
      <c r="A91" s="30" t="n">
        <v>46309.70416666667</v>
      </c>
      <c r="B91" s="12" t="inlineStr">
        <is>
          <t>Lyft</t>
        </is>
      </c>
      <c r="C91" s="31" t="n">
        <v>2.32</v>
      </c>
      <c r="D91" s="22" t="n">
        <v>8</v>
      </c>
      <c r="E91" s="31" t="n">
        <v>24.46</v>
      </c>
      <c r="F91" s="22" t="n">
        <v>60.5</v>
      </c>
      <c r="G91" s="32" t="n">
        <v>43.77</v>
      </c>
      <c r="H91" s="33">
        <f>IFERROR(G91/(C91+E91),0)</f>
        <v/>
      </c>
      <c r="I91" s="33">
        <f>IFERROR((G91-(C91+E91)*Assumptions!$B$13)/((D91+F91)/60),0)</f>
        <v/>
      </c>
      <c r="J91" s="12" t="inlineStr">
        <is>
          <t>Passed</t>
        </is>
      </c>
      <c r="K91" s="33" t="n"/>
      <c r="L91" s="33" t="n"/>
      <c r="M91" s="33">
        <f>IF(J91="Took",L91,ROUND(G91*(1+Assumptions!$B$14)-(C91+E91)*Assumptions!$B$13,2))</f>
        <v/>
      </c>
      <c r="N91" s="12" t="inlineStr">
        <is>
          <t>Busy</t>
        </is>
      </c>
      <c r="O91" s="12" t="inlineStr">
        <is>
          <t>Skip</t>
        </is>
      </c>
      <c r="P91" s="12" t="inlineStr">
        <is>
          <t>Busy</t>
        </is>
      </c>
      <c r="Q91" s="12" t="inlineStr">
        <is>
          <t>Busy</t>
        </is>
      </c>
      <c r="R91" s="12" t="inlineStr">
        <is>
          <t>Busy</t>
        </is>
      </c>
      <c r="S91" s="12" t="inlineStr">
        <is>
          <t>d72423</t>
        </is>
      </c>
    </row>
    <row r="92">
      <c r="A92" s="24" t="n">
        <v>46309.71111111111</v>
      </c>
      <c r="B92" s="25" t="inlineStr">
        <is>
          <t>Uber</t>
        </is>
      </c>
      <c r="C92" s="26" t="n">
        <v>2.4</v>
      </c>
      <c r="D92" s="27" t="n">
        <v>8.800000000000001</v>
      </c>
      <c r="E92" s="26" t="n">
        <v>4.63</v>
      </c>
      <c r="F92" s="27" t="n">
        <v>16.4</v>
      </c>
      <c r="G92" s="28" t="n">
        <v>7.24</v>
      </c>
      <c r="H92" s="29">
        <f>IFERROR(G92/(C92+E92),0)</f>
        <v/>
      </c>
      <c r="I92" s="29">
        <f>IFERROR((G92-(C92+E92)*Assumptions!$B$13)/((D92+F92)/60),0)</f>
        <v/>
      </c>
      <c r="J92" s="25" t="inlineStr">
        <is>
          <t>Took</t>
        </is>
      </c>
      <c r="K92" s="28" t="n">
        <v>12.54</v>
      </c>
      <c r="L92" s="28" t="n">
        <v>10.57</v>
      </c>
      <c r="M92" s="29">
        <f>IF(J92="Took",L92,ROUND(G92*(1+Assumptions!$B$14)-(C92+E92)*Assumptions!$B$13,2))</f>
        <v/>
      </c>
      <c r="N92" s="25" t="inlineStr">
        <is>
          <t>Take</t>
        </is>
      </c>
      <c r="O92" s="25" t="inlineStr">
        <is>
          <t>Skip</t>
        </is>
      </c>
      <c r="P92" s="25" t="inlineStr">
        <is>
          <t>Take</t>
        </is>
      </c>
      <c r="Q92" s="25" t="inlineStr">
        <is>
          <t>Skip</t>
        </is>
      </c>
      <c r="R92" s="25" t="inlineStr">
        <is>
          <t>Take</t>
        </is>
      </c>
      <c r="S92" s="25" t="inlineStr">
        <is>
          <t>40a8df</t>
        </is>
      </c>
    </row>
    <row r="93">
      <c r="A93" s="30" t="n">
        <v>46309.73263888889</v>
      </c>
      <c r="B93" s="12" t="inlineStr">
        <is>
          <t>Uber</t>
        </is>
      </c>
      <c r="C93" s="31" t="n">
        <v>1.2</v>
      </c>
      <c r="D93" s="22" t="n">
        <v>5.1</v>
      </c>
      <c r="E93" s="31" t="n">
        <v>8.630000000000001</v>
      </c>
      <c r="F93" s="22" t="n">
        <v>22.8</v>
      </c>
      <c r="G93" s="32" t="n">
        <v>16.99</v>
      </c>
      <c r="H93" s="33">
        <f>IFERROR(G93/(C93+E93),0)</f>
        <v/>
      </c>
      <c r="I93" s="33">
        <f>IFERROR((G93-(C93+E93)*Assumptions!$B$13)/((D93+F93)/60),0)</f>
        <v/>
      </c>
      <c r="J93" s="12" t="inlineStr">
        <is>
          <t>Passed</t>
        </is>
      </c>
      <c r="K93" s="33" t="n"/>
      <c r="L93" s="33" t="n"/>
      <c r="M93" s="33">
        <f>IF(J93="Took",L93,ROUND(G93*(1+Assumptions!$B$14)-(C93+E93)*Assumptions!$B$13,2))</f>
        <v/>
      </c>
      <c r="N93" s="12" t="inlineStr">
        <is>
          <t>Busy</t>
        </is>
      </c>
      <c r="O93" s="12" t="inlineStr">
        <is>
          <t>Busy</t>
        </is>
      </c>
      <c r="P93" s="12" t="inlineStr">
        <is>
          <t>Busy</t>
        </is>
      </c>
      <c r="Q93" s="12" t="inlineStr">
        <is>
          <t>Busy</t>
        </is>
      </c>
      <c r="R93" s="12" t="inlineStr">
        <is>
          <t>Busy</t>
        </is>
      </c>
      <c r="S93" s="12" t="inlineStr">
        <is>
          <t>bd5a6c</t>
        </is>
      </c>
    </row>
    <row r="94">
      <c r="A94" s="24" t="n">
        <v>46309.73611111111</v>
      </c>
      <c r="B94" s="25" t="inlineStr">
        <is>
          <t>Uber</t>
        </is>
      </c>
      <c r="C94" s="26" t="n">
        <v>0.53</v>
      </c>
      <c r="D94" s="27" t="n">
        <v>3.4</v>
      </c>
      <c r="E94" s="26" t="n">
        <v>21.03</v>
      </c>
      <c r="F94" s="27" t="n">
        <v>51.6</v>
      </c>
      <c r="G94" s="28" t="n">
        <v>50.84</v>
      </c>
      <c r="H94" s="29">
        <f>IFERROR(G94/(C94+E94),0)</f>
        <v/>
      </c>
      <c r="I94" s="29">
        <f>IFERROR((G94-(C94+E94)*Assumptions!$B$13)/((D94+F94)/60),0)</f>
        <v/>
      </c>
      <c r="J94" s="25" t="inlineStr">
        <is>
          <t>Took</t>
        </is>
      </c>
      <c r="K94" s="28" t="n">
        <v>58.43</v>
      </c>
      <c r="L94" s="28" t="n">
        <v>52.35</v>
      </c>
      <c r="M94" s="29">
        <f>IF(J94="Took",L94,ROUND(G94*(1+Assumptions!$B$14)-(C94+E94)*Assumptions!$B$13,2))</f>
        <v/>
      </c>
      <c r="N94" s="25" t="inlineStr">
        <is>
          <t>Take</t>
        </is>
      </c>
      <c r="O94" s="25" t="inlineStr">
        <is>
          <t>Take</t>
        </is>
      </c>
      <c r="P94" s="25" t="inlineStr">
        <is>
          <t>Take</t>
        </is>
      </c>
      <c r="Q94" s="25" t="inlineStr">
        <is>
          <t>Take</t>
        </is>
      </c>
      <c r="R94" s="25" t="inlineStr">
        <is>
          <t>Take</t>
        </is>
      </c>
      <c r="S94" s="25" t="inlineStr">
        <is>
          <t>6e9528</t>
        </is>
      </c>
    </row>
    <row r="95">
      <c r="A95" s="30" t="n">
        <v>46309.81597222222</v>
      </c>
      <c r="B95" s="12" t="inlineStr">
        <is>
          <t>Uber</t>
        </is>
      </c>
      <c r="C95" s="31" t="n">
        <v>4.1</v>
      </c>
      <c r="D95" s="22" t="n">
        <v>12.7</v>
      </c>
      <c r="E95" s="31" t="n">
        <v>19.63</v>
      </c>
      <c r="F95" s="22" t="n">
        <v>46.5</v>
      </c>
      <c r="G95" s="32" t="n">
        <v>36.05</v>
      </c>
      <c r="H95" s="33">
        <f>IFERROR(G95/(C95+E95),0)</f>
        <v/>
      </c>
      <c r="I95" s="33">
        <f>IFERROR((G95-(C95+E95)*Assumptions!$B$13)/((D95+F95)/60),0)</f>
        <v/>
      </c>
      <c r="J95" s="12" t="inlineStr">
        <is>
          <t>Passed</t>
        </is>
      </c>
      <c r="K95" s="33" t="n"/>
      <c r="L95" s="33" t="n"/>
      <c r="M95" s="33">
        <f>IF(J95="Took",L95,ROUND(G95*(1+Assumptions!$B$14)-(C95+E95)*Assumptions!$B$13,2))</f>
        <v/>
      </c>
      <c r="N95" s="12" t="inlineStr">
        <is>
          <t>Skip</t>
        </is>
      </c>
      <c r="O95" s="12" t="inlineStr">
        <is>
          <t>Skip</t>
        </is>
      </c>
      <c r="P95" s="12" t="inlineStr">
        <is>
          <t>Busy</t>
        </is>
      </c>
      <c r="Q95" s="12" t="inlineStr">
        <is>
          <t>Busy</t>
        </is>
      </c>
      <c r="R95" s="12" t="inlineStr">
        <is>
          <t>Busy</t>
        </is>
      </c>
      <c r="S95" s="12" t="inlineStr">
        <is>
          <t>3435e7</t>
        </is>
      </c>
    </row>
    <row r="96">
      <c r="A96" s="24" t="n">
        <v>46309.82222222222</v>
      </c>
      <c r="B96" s="25" t="inlineStr">
        <is>
          <t>Uber</t>
        </is>
      </c>
      <c r="C96" s="26" t="n">
        <v>1.34</v>
      </c>
      <c r="D96" s="27" t="n">
        <v>6.2</v>
      </c>
      <c r="E96" s="26" t="n">
        <v>2.53</v>
      </c>
      <c r="F96" s="27" t="n">
        <v>12.4</v>
      </c>
      <c r="G96" s="28" t="n">
        <v>7.59</v>
      </c>
      <c r="H96" s="29">
        <f>IFERROR(G96/(C96+E96),0)</f>
        <v/>
      </c>
      <c r="I96" s="29">
        <f>IFERROR((G96-(C96+E96)*Assumptions!$B$13)/((D96+F96)/60),0)</f>
        <v/>
      </c>
      <c r="J96" s="25" t="inlineStr">
        <is>
          <t>Took</t>
        </is>
      </c>
      <c r="K96" s="28" t="n">
        <v>7.59</v>
      </c>
      <c r="L96" s="28" t="n">
        <v>6.51</v>
      </c>
      <c r="M96" s="29">
        <f>IF(J96="Took",L96,ROUND(G96*(1+Assumptions!$B$14)-(C96+E96)*Assumptions!$B$13,2))</f>
        <v/>
      </c>
      <c r="N96" s="25" t="inlineStr">
        <is>
          <t>Take</t>
        </is>
      </c>
      <c r="O96" s="25" t="inlineStr">
        <is>
          <t>Take</t>
        </is>
      </c>
      <c r="P96" s="25" t="inlineStr">
        <is>
          <t>Take</t>
        </is>
      </c>
      <c r="Q96" s="25" t="inlineStr">
        <is>
          <t>Take</t>
        </is>
      </c>
      <c r="R96" s="25" t="inlineStr">
        <is>
          <t>Take</t>
        </is>
      </c>
      <c r="S96" s="25" t="inlineStr">
        <is>
          <t>625f5f</t>
        </is>
      </c>
    </row>
    <row r="97">
      <c r="A97" s="30" t="n">
        <v>46309.83958333333</v>
      </c>
      <c r="B97" s="12" t="inlineStr">
        <is>
          <t>Lyft</t>
        </is>
      </c>
      <c r="C97" s="31" t="n">
        <v>1.65</v>
      </c>
      <c r="D97" s="22" t="n">
        <v>6.3</v>
      </c>
      <c r="E97" s="31" t="n">
        <v>12.6</v>
      </c>
      <c r="F97" s="22" t="n">
        <v>35</v>
      </c>
      <c r="G97" s="32" t="n">
        <v>25</v>
      </c>
      <c r="H97" s="33">
        <f>IFERROR(G97/(C97+E97),0)</f>
        <v/>
      </c>
      <c r="I97" s="33">
        <f>IFERROR((G97-(C97+E97)*Assumptions!$B$13)/((D97+F97)/60),0)</f>
        <v/>
      </c>
      <c r="J97" s="12" t="inlineStr">
        <is>
          <t>Passed</t>
        </is>
      </c>
      <c r="K97" s="33" t="n"/>
      <c r="L97" s="33" t="n"/>
      <c r="M97" s="33">
        <f>IF(J97="Took",L97,ROUND(G97*(1+Assumptions!$B$14)-(C97+E97)*Assumptions!$B$13,2))</f>
        <v/>
      </c>
      <c r="N97" s="12" t="inlineStr">
        <is>
          <t>Busy</t>
        </is>
      </c>
      <c r="O97" s="12" t="inlineStr">
        <is>
          <t>Busy</t>
        </is>
      </c>
      <c r="P97" s="12" t="inlineStr">
        <is>
          <t>Busy</t>
        </is>
      </c>
      <c r="Q97" s="12" t="inlineStr">
        <is>
          <t>Busy</t>
        </is>
      </c>
      <c r="R97" s="12" t="inlineStr">
        <is>
          <t>Busy</t>
        </is>
      </c>
      <c r="S97" s="12" t="inlineStr">
        <is>
          <t>c303dc</t>
        </is>
      </c>
    </row>
    <row r="98">
      <c r="A98" s="24" t="n">
        <v>46309.84097222222</v>
      </c>
      <c r="B98" s="25" t="inlineStr">
        <is>
          <t>Uber</t>
        </is>
      </c>
      <c r="C98" s="26" t="n">
        <v>1.95</v>
      </c>
      <c r="D98" s="27" t="n">
        <v>7.3</v>
      </c>
      <c r="E98" s="26" t="n">
        <v>11.78</v>
      </c>
      <c r="F98" s="27" t="n">
        <v>35</v>
      </c>
      <c r="G98" s="28" t="n">
        <v>22.38</v>
      </c>
      <c r="H98" s="29">
        <f>IFERROR(G98/(C98+E98),0)</f>
        <v/>
      </c>
      <c r="I98" s="29">
        <f>IFERROR((G98-(C98+E98)*Assumptions!$B$13)/((D98+F98)/60),0)</f>
        <v/>
      </c>
      <c r="J98" s="25" t="inlineStr">
        <is>
          <t>Took</t>
        </is>
      </c>
      <c r="K98" s="28" t="n">
        <v>30.2</v>
      </c>
      <c r="L98" s="28" t="n">
        <v>26.36</v>
      </c>
      <c r="M98" s="29">
        <f>IF(J98="Took",L98,ROUND(G98*(1+Assumptions!$B$14)-(C98+E98)*Assumptions!$B$13,2))</f>
        <v/>
      </c>
      <c r="N98" s="25" t="inlineStr">
        <is>
          <t>Take</t>
        </is>
      </c>
      <c r="O98" s="25" t="inlineStr">
        <is>
          <t>Take</t>
        </is>
      </c>
      <c r="P98" s="25" t="inlineStr">
        <is>
          <t>Take</t>
        </is>
      </c>
      <c r="Q98" s="25" t="inlineStr">
        <is>
          <t>Take</t>
        </is>
      </c>
      <c r="R98" s="25" t="inlineStr">
        <is>
          <t>Take</t>
        </is>
      </c>
      <c r="S98" s="25" t="inlineStr">
        <is>
          <t>cc7250</t>
        </is>
      </c>
    </row>
    <row r="99">
      <c r="A99" s="30" t="n">
        <v>46309.88472222222</v>
      </c>
      <c r="B99" s="12" t="inlineStr">
        <is>
          <t>Uber</t>
        </is>
      </c>
      <c r="C99" s="31" t="n">
        <v>7.51</v>
      </c>
      <c r="D99" s="22" t="n">
        <v>21.5</v>
      </c>
      <c r="E99" s="31" t="n">
        <v>9.15</v>
      </c>
      <c r="F99" s="22" t="n">
        <v>23.9</v>
      </c>
      <c r="G99" s="32" t="n">
        <v>17.24</v>
      </c>
      <c r="H99" s="33">
        <f>IFERROR(G99/(C99+E99),0)</f>
        <v/>
      </c>
      <c r="I99" s="33">
        <f>IFERROR((G99-(C99+E99)*Assumptions!$B$13)/((D99+F99)/60),0)</f>
        <v/>
      </c>
      <c r="J99" s="12" t="inlineStr">
        <is>
          <t>Passed</t>
        </is>
      </c>
      <c r="K99" s="33" t="n"/>
      <c r="L99" s="33" t="n"/>
      <c r="M99" s="33">
        <f>IF(J99="Took",L99,ROUND(G99*(1+Assumptions!$B$14)-(C99+E99)*Assumptions!$B$13,2))</f>
        <v/>
      </c>
      <c r="N99" s="12" t="inlineStr">
        <is>
          <t>Skip</t>
        </is>
      </c>
      <c r="O99" s="12" t="inlineStr">
        <is>
          <t>Skip</t>
        </is>
      </c>
      <c r="P99" s="12" t="inlineStr">
        <is>
          <t>Busy</t>
        </is>
      </c>
      <c r="Q99" s="12" t="inlineStr">
        <is>
          <t>Skip</t>
        </is>
      </c>
      <c r="R99" s="12" t="inlineStr">
        <is>
          <t>Busy</t>
        </is>
      </c>
      <c r="S99" s="12" t="inlineStr">
        <is>
          <t>b1c7f7</t>
        </is>
      </c>
    </row>
    <row r="100">
      <c r="A100" s="24" t="n">
        <v>46309.88888888889</v>
      </c>
      <c r="B100" s="25" t="inlineStr">
        <is>
          <t>Uber</t>
        </is>
      </c>
      <c r="C100" s="26" t="n">
        <v>0.51</v>
      </c>
      <c r="D100" s="27" t="n">
        <v>2.6</v>
      </c>
      <c r="E100" s="26" t="n">
        <v>29.3</v>
      </c>
      <c r="F100" s="27" t="n">
        <v>69.8</v>
      </c>
      <c r="G100" s="28" t="n">
        <v>48.54</v>
      </c>
      <c r="H100" s="29">
        <f>IFERROR(G100/(C100+E100),0)</f>
        <v/>
      </c>
      <c r="I100" s="29">
        <f>IFERROR((G100-(C100+E100)*Assumptions!$B$13)/((D100+F100)/60),0)</f>
        <v/>
      </c>
      <c r="J100" s="25" t="inlineStr">
        <is>
          <t>Took</t>
        </is>
      </c>
      <c r="K100" s="28" t="n">
        <v>48.54</v>
      </c>
      <c r="L100" s="28" t="n">
        <v>40.14</v>
      </c>
      <c r="M100" s="29">
        <f>IF(J100="Took",L100,ROUND(G100*(1+Assumptions!$B$14)-(C100+E100)*Assumptions!$B$13,2))</f>
        <v/>
      </c>
      <c r="N100" s="25" t="inlineStr">
        <is>
          <t>Take</t>
        </is>
      </c>
      <c r="O100" s="25" t="inlineStr">
        <is>
          <t>Take</t>
        </is>
      </c>
      <c r="P100" s="25" t="inlineStr">
        <is>
          <t>Take</t>
        </is>
      </c>
      <c r="Q100" s="25" t="inlineStr">
        <is>
          <t>Take</t>
        </is>
      </c>
      <c r="R100" s="25" t="inlineStr">
        <is>
          <t>Take</t>
        </is>
      </c>
      <c r="S100" s="25" t="inlineStr">
        <is>
          <t>61d9af</t>
        </is>
      </c>
    </row>
    <row r="101">
      <c r="A101" s="30" t="n">
        <v>46310.33958333333</v>
      </c>
      <c r="B101" s="12" t="inlineStr">
        <is>
          <t>Lyft</t>
        </is>
      </c>
      <c r="C101" s="31" t="n">
        <v>2.19</v>
      </c>
      <c r="D101" s="22" t="n">
        <v>7.7</v>
      </c>
      <c r="E101" s="31" t="n">
        <v>13.04</v>
      </c>
      <c r="F101" s="22" t="n">
        <v>33.1</v>
      </c>
      <c r="G101" s="32" t="n">
        <v>25.79</v>
      </c>
      <c r="H101" s="33">
        <f>IFERROR(G101/(C101+E101),0)</f>
        <v/>
      </c>
      <c r="I101" s="33">
        <f>IFERROR((G101-(C101+E101)*Assumptions!$B$13)/((D101+F101)/60),0)</f>
        <v/>
      </c>
      <c r="J101" s="12" t="inlineStr">
        <is>
          <t>Passed</t>
        </is>
      </c>
      <c r="K101" s="33" t="n"/>
      <c r="L101" s="33" t="n"/>
      <c r="M101" s="33">
        <f>IF(J101="Took",L101,ROUND(G101*(1+Assumptions!$B$14)-(C101+E101)*Assumptions!$B$13,2))</f>
        <v/>
      </c>
      <c r="N101" s="12" t="inlineStr">
        <is>
          <t>Busy</t>
        </is>
      </c>
      <c r="O101" s="12" t="inlineStr">
        <is>
          <t>Skip</t>
        </is>
      </c>
      <c r="P101" s="12" t="inlineStr">
        <is>
          <t>Busy</t>
        </is>
      </c>
      <c r="Q101" s="12" t="inlineStr">
        <is>
          <t>Busy</t>
        </is>
      </c>
      <c r="R101" s="12" t="inlineStr">
        <is>
          <t>Busy</t>
        </is>
      </c>
      <c r="S101" s="12" t="inlineStr">
        <is>
          <t>ff7dfb</t>
        </is>
      </c>
    </row>
    <row r="102">
      <c r="A102" s="24" t="n">
        <v>46310.34236111111</v>
      </c>
      <c r="B102" s="25" t="inlineStr">
        <is>
          <t>Uber</t>
        </is>
      </c>
      <c r="C102" s="26" t="n">
        <v>5.03</v>
      </c>
      <c r="D102" s="27" t="n">
        <v>15.1</v>
      </c>
      <c r="E102" s="26" t="n">
        <v>16.62</v>
      </c>
      <c r="F102" s="27" t="n">
        <v>42.3</v>
      </c>
      <c r="G102" s="28" t="n">
        <v>30.51</v>
      </c>
      <c r="H102" s="29">
        <f>IFERROR(G102/(C102+E102),0)</f>
        <v/>
      </c>
      <c r="I102" s="29">
        <f>IFERROR((G102-(C102+E102)*Assumptions!$B$13)/((D102+F102)/60),0)</f>
        <v/>
      </c>
      <c r="J102" s="25" t="inlineStr">
        <is>
          <t>Passed</t>
        </is>
      </c>
      <c r="K102" s="29" t="n"/>
      <c r="L102" s="29" t="n"/>
      <c r="M102" s="29">
        <f>IF(J102="Took",L102,ROUND(G102*(1+Assumptions!$B$14)-(C102+E102)*Assumptions!$B$13,2))</f>
        <v/>
      </c>
      <c r="N102" s="25" t="inlineStr">
        <is>
          <t>Skip</t>
        </is>
      </c>
      <c r="O102" s="25" t="inlineStr">
        <is>
          <t>Skip</t>
        </is>
      </c>
      <c r="P102" s="25" t="inlineStr">
        <is>
          <t>Busy</t>
        </is>
      </c>
      <c r="Q102" s="25" t="inlineStr">
        <is>
          <t>Busy</t>
        </is>
      </c>
      <c r="R102" s="25" t="inlineStr">
        <is>
          <t>Busy</t>
        </is>
      </c>
      <c r="S102" s="25" t="inlineStr">
        <is>
          <t>8a9ab7</t>
        </is>
      </c>
    </row>
    <row r="103">
      <c r="A103" s="30" t="n">
        <v>46310.34513888889</v>
      </c>
      <c r="B103" s="12" t="inlineStr">
        <is>
          <t>Lyft</t>
        </is>
      </c>
      <c r="C103" s="31" t="n">
        <v>2.18</v>
      </c>
      <c r="D103" s="22" t="n">
        <v>8.5</v>
      </c>
      <c r="E103" s="31" t="n">
        <v>10.66</v>
      </c>
      <c r="F103" s="22" t="n">
        <v>29.2</v>
      </c>
      <c r="G103" s="32" t="n">
        <v>17.76</v>
      </c>
      <c r="H103" s="33">
        <f>IFERROR(G103/(C103+E103),0)</f>
        <v/>
      </c>
      <c r="I103" s="33">
        <f>IFERROR((G103-(C103+E103)*Assumptions!$B$13)/((D103+F103)/60),0)</f>
        <v/>
      </c>
      <c r="J103" s="12" t="inlineStr">
        <is>
          <t>Took</t>
        </is>
      </c>
      <c r="K103" s="32" t="n">
        <v>26.9</v>
      </c>
      <c r="L103" s="32" t="n">
        <v>23.32</v>
      </c>
      <c r="M103" s="33">
        <f>IF(J103="Took",L103,ROUND(G103*(1+Assumptions!$B$14)-(C103+E103)*Assumptions!$B$13,2))</f>
        <v/>
      </c>
      <c r="N103" s="12" t="inlineStr">
        <is>
          <t>Take</t>
        </is>
      </c>
      <c r="O103" s="12" t="inlineStr">
        <is>
          <t>Skip</t>
        </is>
      </c>
      <c r="P103" s="12" t="inlineStr">
        <is>
          <t>Take</t>
        </is>
      </c>
      <c r="Q103" s="12" t="inlineStr">
        <is>
          <t>Take</t>
        </is>
      </c>
      <c r="R103" s="12" t="inlineStr">
        <is>
          <t>Take</t>
        </is>
      </c>
      <c r="S103" s="12" t="inlineStr">
        <is>
          <t>b6ae40</t>
        </is>
      </c>
    </row>
    <row r="104">
      <c r="A104" s="24" t="n">
        <v>46310.34861111111</v>
      </c>
      <c r="B104" s="25" t="inlineStr">
        <is>
          <t>Lyft</t>
        </is>
      </c>
      <c r="C104" s="26" t="n">
        <v>0.99</v>
      </c>
      <c r="D104" s="27" t="n">
        <v>3.7</v>
      </c>
      <c r="E104" s="26" t="n">
        <v>10.98</v>
      </c>
      <c r="F104" s="27" t="n">
        <v>29.8</v>
      </c>
      <c r="G104" s="28" t="n">
        <v>30.78</v>
      </c>
      <c r="H104" s="29">
        <f>IFERROR(G104/(C104+E104),0)</f>
        <v/>
      </c>
      <c r="I104" s="29">
        <f>IFERROR((G104-(C104+E104)*Assumptions!$B$13)/((D104+F104)/60),0)</f>
        <v/>
      </c>
      <c r="J104" s="25" t="inlineStr">
        <is>
          <t>Took</t>
        </is>
      </c>
      <c r="K104" s="28" t="n">
        <v>30.78</v>
      </c>
      <c r="L104" s="28" t="n">
        <v>27.4</v>
      </c>
      <c r="M104" s="29">
        <f>IF(J104="Took",L104,ROUND(G104*(1+Assumptions!$B$14)-(C104+E104)*Assumptions!$B$13,2))</f>
        <v/>
      </c>
      <c r="N104" s="25" t="inlineStr">
        <is>
          <t>Take</t>
        </is>
      </c>
      <c r="O104" s="25" t="inlineStr">
        <is>
          <t>Take</t>
        </is>
      </c>
      <c r="P104" s="25" t="inlineStr">
        <is>
          <t>Take</t>
        </is>
      </c>
      <c r="Q104" s="25" t="inlineStr">
        <is>
          <t>Take</t>
        </is>
      </c>
      <c r="R104" s="25" t="inlineStr">
        <is>
          <t>Take</t>
        </is>
      </c>
      <c r="S104" s="25" t="inlineStr">
        <is>
          <t>85229b</t>
        </is>
      </c>
    </row>
    <row r="105">
      <c r="A105" s="30" t="n">
        <v>46310.36736111111</v>
      </c>
      <c r="B105" s="12" t="inlineStr">
        <is>
          <t>Lyft</t>
        </is>
      </c>
      <c r="C105" s="31" t="n">
        <v>3.6</v>
      </c>
      <c r="D105" s="22" t="n">
        <v>11.6</v>
      </c>
      <c r="E105" s="31" t="n">
        <v>12.67</v>
      </c>
      <c r="F105" s="22" t="n">
        <v>31.5</v>
      </c>
      <c r="G105" s="32" t="n">
        <v>29.29</v>
      </c>
      <c r="H105" s="33">
        <f>IFERROR(G105/(C105+E105),0)</f>
        <v/>
      </c>
      <c r="I105" s="33">
        <f>IFERROR((G105-(C105+E105)*Assumptions!$B$13)/((D105+F105)/60),0)</f>
        <v/>
      </c>
      <c r="J105" s="12" t="inlineStr">
        <is>
          <t>Took</t>
        </is>
      </c>
      <c r="K105" s="32" t="n">
        <v>33.73</v>
      </c>
      <c r="L105" s="32" t="n">
        <v>29.18</v>
      </c>
      <c r="M105" s="33">
        <f>IF(J105="Took",L105,ROUND(G105*(1+Assumptions!$B$14)-(C105+E105)*Assumptions!$B$13,2))</f>
        <v/>
      </c>
      <c r="N105" s="12" t="inlineStr">
        <is>
          <t>Skip</t>
        </is>
      </c>
      <c r="O105" s="12" t="inlineStr">
        <is>
          <t>Skip</t>
        </is>
      </c>
      <c r="P105" s="12" t="inlineStr">
        <is>
          <t>Take</t>
        </is>
      </c>
      <c r="Q105" s="12" t="inlineStr">
        <is>
          <t>Take</t>
        </is>
      </c>
      <c r="R105" s="12" t="inlineStr">
        <is>
          <t>Take</t>
        </is>
      </c>
      <c r="S105" s="12" t="inlineStr">
        <is>
          <t>b4939d</t>
        </is>
      </c>
    </row>
    <row r="106">
      <c r="A106" s="24" t="n">
        <v>46310.45</v>
      </c>
      <c r="B106" s="25" t="inlineStr">
        <is>
          <t>Lyft</t>
        </is>
      </c>
      <c r="C106" s="26" t="n">
        <v>1.24</v>
      </c>
      <c r="D106" s="27" t="n">
        <v>5.2</v>
      </c>
      <c r="E106" s="26" t="n">
        <v>5.78</v>
      </c>
      <c r="F106" s="27" t="n">
        <v>20</v>
      </c>
      <c r="G106" s="28" t="n">
        <v>13.4</v>
      </c>
      <c r="H106" s="29">
        <f>IFERROR(G106/(C106+E106),0)</f>
        <v/>
      </c>
      <c r="I106" s="29">
        <f>IFERROR((G106-(C106+E106)*Assumptions!$B$13)/((D106+F106)/60),0)</f>
        <v/>
      </c>
      <c r="J106" s="25" t="inlineStr">
        <is>
          <t>Passed</t>
        </is>
      </c>
      <c r="K106" s="29" t="n"/>
      <c r="L106" s="29" t="n"/>
      <c r="M106" s="29">
        <f>IF(J106="Took",L106,ROUND(G106*(1+Assumptions!$B$14)-(C106+E106)*Assumptions!$B$13,2))</f>
        <v/>
      </c>
      <c r="N106" s="25" t="inlineStr">
        <is>
          <t>Busy</t>
        </is>
      </c>
      <c r="O106" s="25" t="inlineStr">
        <is>
          <t>Busy</t>
        </is>
      </c>
      <c r="P106" s="25" t="inlineStr">
        <is>
          <t>Busy</t>
        </is>
      </c>
      <c r="Q106" s="25" t="inlineStr">
        <is>
          <t>Busy</t>
        </is>
      </c>
      <c r="R106" s="25" t="inlineStr">
        <is>
          <t>Busy</t>
        </is>
      </c>
      <c r="S106" s="25" t="inlineStr">
        <is>
          <t>bae642</t>
        </is>
      </c>
    </row>
    <row r="107">
      <c r="A107" s="30" t="n">
        <v>46310.45138888889</v>
      </c>
      <c r="B107" s="12" t="inlineStr">
        <is>
          <t>Uber</t>
        </is>
      </c>
      <c r="C107" s="31" t="n">
        <v>0.97</v>
      </c>
      <c r="D107" s="22" t="n">
        <v>4.2</v>
      </c>
      <c r="E107" s="31" t="n">
        <v>27.84</v>
      </c>
      <c r="F107" s="22" t="n">
        <v>65.2</v>
      </c>
      <c r="G107" s="32" t="n">
        <v>54.5</v>
      </c>
      <c r="H107" s="33">
        <f>IFERROR(G107/(C107+E107),0)</f>
        <v/>
      </c>
      <c r="I107" s="33">
        <f>IFERROR((G107-(C107+E107)*Assumptions!$B$13)/((D107+F107)/60),0)</f>
        <v/>
      </c>
      <c r="J107" s="12" t="inlineStr">
        <is>
          <t>Took</t>
        </is>
      </c>
      <c r="K107" s="32" t="n">
        <v>59.49</v>
      </c>
      <c r="L107" s="32" t="n">
        <v>51.36</v>
      </c>
      <c r="M107" s="33">
        <f>IF(J107="Took",L107,ROUND(G107*(1+Assumptions!$B$14)-(C107+E107)*Assumptions!$B$13,2))</f>
        <v/>
      </c>
      <c r="N107" s="12" t="inlineStr">
        <is>
          <t>Take</t>
        </is>
      </c>
      <c r="O107" s="12" t="inlineStr">
        <is>
          <t>Take</t>
        </is>
      </c>
      <c r="P107" s="12" t="inlineStr">
        <is>
          <t>Take</t>
        </is>
      </c>
      <c r="Q107" s="12" t="inlineStr">
        <is>
          <t>Take</t>
        </is>
      </c>
      <c r="R107" s="12" t="inlineStr">
        <is>
          <t>Take</t>
        </is>
      </c>
      <c r="S107" s="12" t="inlineStr">
        <is>
          <t>dab481</t>
        </is>
      </c>
    </row>
    <row r="108">
      <c r="A108" s="24" t="n">
        <v>46310.48333333333</v>
      </c>
      <c r="B108" s="25" t="inlineStr">
        <is>
          <t>Lyft</t>
        </is>
      </c>
      <c r="C108" s="26" t="n">
        <v>1.43</v>
      </c>
      <c r="D108" s="27" t="n">
        <v>5.7</v>
      </c>
      <c r="E108" s="26" t="n">
        <v>10.98</v>
      </c>
      <c r="F108" s="27" t="n">
        <v>32</v>
      </c>
      <c r="G108" s="28" t="n">
        <v>22.84</v>
      </c>
      <c r="H108" s="29">
        <f>IFERROR(G108/(C108+E108),0)</f>
        <v/>
      </c>
      <c r="I108" s="29">
        <f>IFERROR((G108-(C108+E108)*Assumptions!$B$13)/((D108+F108)/60),0)</f>
        <v/>
      </c>
      <c r="J108" s="25" t="inlineStr">
        <is>
          <t>Passed</t>
        </is>
      </c>
      <c r="K108" s="29" t="n"/>
      <c r="L108" s="29" t="n"/>
      <c r="M108" s="29">
        <f>IF(J108="Took",L108,ROUND(G108*(1+Assumptions!$B$14)-(C108+E108)*Assumptions!$B$13,2))</f>
        <v/>
      </c>
      <c r="N108" s="25" t="inlineStr">
        <is>
          <t>Busy</t>
        </is>
      </c>
      <c r="O108" s="25" t="inlineStr">
        <is>
          <t>Busy</t>
        </is>
      </c>
      <c r="P108" s="25" t="inlineStr">
        <is>
          <t>Busy</t>
        </is>
      </c>
      <c r="Q108" s="25" t="inlineStr">
        <is>
          <t>Busy</t>
        </is>
      </c>
      <c r="R108" s="25" t="inlineStr">
        <is>
          <t>Busy</t>
        </is>
      </c>
      <c r="S108" s="25" t="inlineStr">
        <is>
          <t>fe42dc</t>
        </is>
      </c>
    </row>
    <row r="109">
      <c r="A109" s="30" t="n">
        <v>46310.48819444444</v>
      </c>
      <c r="B109" s="12" t="inlineStr">
        <is>
          <t>Uber</t>
        </is>
      </c>
      <c r="C109" s="31" t="n">
        <v>1.55</v>
      </c>
      <c r="D109" s="22" t="n">
        <v>5.8</v>
      </c>
      <c r="E109" s="31" t="n">
        <v>28.95</v>
      </c>
      <c r="F109" s="22" t="n">
        <v>73.40000000000001</v>
      </c>
      <c r="G109" s="32" t="n">
        <v>42.76</v>
      </c>
      <c r="H109" s="33">
        <f>IFERROR(G109/(C109+E109),0)</f>
        <v/>
      </c>
      <c r="I109" s="33">
        <f>IFERROR((G109-(C109+E109)*Assumptions!$B$13)/((D109+F109)/60),0)</f>
        <v/>
      </c>
      <c r="J109" s="12" t="inlineStr">
        <is>
          <t>Took</t>
        </is>
      </c>
      <c r="K109" s="32" t="n">
        <v>42.76</v>
      </c>
      <c r="L109" s="32" t="n">
        <v>34.28</v>
      </c>
      <c r="M109" s="33">
        <f>IF(J109="Took",L109,ROUND(G109*(1+Assumptions!$B$14)-(C109+E109)*Assumptions!$B$13,2))</f>
        <v/>
      </c>
      <c r="N109" s="12" t="inlineStr">
        <is>
          <t>Take</t>
        </is>
      </c>
      <c r="O109" s="12" t="inlineStr">
        <is>
          <t>Take</t>
        </is>
      </c>
      <c r="P109" s="12" t="inlineStr">
        <is>
          <t>Take</t>
        </is>
      </c>
      <c r="Q109" s="12" t="inlineStr">
        <is>
          <t>Take</t>
        </is>
      </c>
      <c r="R109" s="12" t="inlineStr">
        <is>
          <t>Take</t>
        </is>
      </c>
      <c r="S109" s="12" t="inlineStr">
        <is>
          <t>e52c59</t>
        </is>
      </c>
    </row>
    <row r="110">
      <c r="A110" s="24" t="n">
        <v>46310.775</v>
      </c>
      <c r="B110" s="25" t="inlineStr">
        <is>
          <t>Uber</t>
        </is>
      </c>
      <c r="C110" s="26" t="n">
        <v>3.97</v>
      </c>
      <c r="D110" s="27" t="n">
        <v>12.3</v>
      </c>
      <c r="E110" s="26" t="n">
        <v>7.19</v>
      </c>
      <c r="F110" s="27" t="n">
        <v>22.8</v>
      </c>
      <c r="G110" s="28" t="n">
        <v>14.6</v>
      </c>
      <c r="H110" s="29">
        <f>IFERROR(G110/(C110+E110),0)</f>
        <v/>
      </c>
      <c r="I110" s="29">
        <f>IFERROR((G110-(C110+E110)*Assumptions!$B$13)/((D110+F110)/60),0)</f>
        <v/>
      </c>
      <c r="J110" s="25" t="inlineStr">
        <is>
          <t>Passed</t>
        </is>
      </c>
      <c r="K110" s="29" t="n"/>
      <c r="L110" s="29" t="n"/>
      <c r="M110" s="29">
        <f>IF(J110="Took",L110,ROUND(G110*(1+Assumptions!$B$14)-(C110+E110)*Assumptions!$B$13,2))</f>
        <v/>
      </c>
      <c r="N110" s="25" t="inlineStr">
        <is>
          <t>Skip</t>
        </is>
      </c>
      <c r="O110" s="25" t="inlineStr">
        <is>
          <t>Skip</t>
        </is>
      </c>
      <c r="P110" s="25" t="inlineStr">
        <is>
          <t>Busy</t>
        </is>
      </c>
      <c r="Q110" s="25" t="inlineStr">
        <is>
          <t>Skip</t>
        </is>
      </c>
      <c r="R110" s="25" t="inlineStr">
        <is>
          <t>Busy</t>
        </is>
      </c>
      <c r="S110" s="25" t="inlineStr">
        <is>
          <t>5649da</t>
        </is>
      </c>
    </row>
    <row r="111">
      <c r="A111" s="30" t="n">
        <v>46310.77708333333</v>
      </c>
      <c r="B111" s="12" t="inlineStr">
        <is>
          <t>Uber</t>
        </is>
      </c>
      <c r="C111" s="31" t="n">
        <v>1.4</v>
      </c>
      <c r="D111" s="22" t="n">
        <v>4.9</v>
      </c>
      <c r="E111" s="31" t="n">
        <v>3.31</v>
      </c>
      <c r="F111" s="22" t="n">
        <v>11.6</v>
      </c>
      <c r="G111" s="32" t="n">
        <v>8.359999999999999</v>
      </c>
      <c r="H111" s="33">
        <f>IFERROR(G111/(C111+E111),0)</f>
        <v/>
      </c>
      <c r="I111" s="33">
        <f>IFERROR((G111-(C111+E111)*Assumptions!$B$13)/((D111+F111)/60),0)</f>
        <v/>
      </c>
      <c r="J111" s="12" t="inlineStr">
        <is>
          <t>Took</t>
        </is>
      </c>
      <c r="K111" s="32" t="n">
        <v>3.98</v>
      </c>
      <c r="L111" s="32" t="n">
        <v>3.59</v>
      </c>
      <c r="M111" s="33">
        <f>IF(J111="Took",L111,ROUND(G111*(1+Assumptions!$B$14)-(C111+E111)*Assumptions!$B$13,2))</f>
        <v/>
      </c>
      <c r="N111" s="12" t="inlineStr">
        <is>
          <t>Take</t>
        </is>
      </c>
      <c r="O111" s="12" t="inlineStr">
        <is>
          <t>Take</t>
        </is>
      </c>
      <c r="P111" s="12" t="inlineStr">
        <is>
          <t>Take</t>
        </is>
      </c>
      <c r="Q111" s="12" t="inlineStr">
        <is>
          <t>Take</t>
        </is>
      </c>
      <c r="R111" s="12" t="inlineStr">
        <is>
          <t>Take</t>
        </is>
      </c>
      <c r="S111" s="12" t="inlineStr">
        <is>
          <t>1411d0</t>
        </is>
      </c>
    </row>
    <row r="112">
      <c r="A112" s="24" t="n">
        <v>46310.78472222222</v>
      </c>
      <c r="B112" s="25" t="inlineStr">
        <is>
          <t>Uber</t>
        </is>
      </c>
      <c r="C112" s="26" t="n">
        <v>1.15</v>
      </c>
      <c r="D112" s="27" t="n">
        <v>5</v>
      </c>
      <c r="E112" s="26" t="n">
        <v>24.31</v>
      </c>
      <c r="F112" s="27" t="n">
        <v>57.8</v>
      </c>
      <c r="G112" s="28" t="n">
        <v>43.4</v>
      </c>
      <c r="H112" s="29">
        <f>IFERROR(G112/(C112+E112),0)</f>
        <v/>
      </c>
      <c r="I112" s="29">
        <f>IFERROR((G112-(C112+E112)*Assumptions!$B$13)/((D112+F112)/60),0)</f>
        <v/>
      </c>
      <c r="J112" s="25" t="inlineStr">
        <is>
          <t>Passed</t>
        </is>
      </c>
      <c r="K112" s="29" t="n"/>
      <c r="L112" s="29" t="n"/>
      <c r="M112" s="29">
        <f>IF(J112="Took",L112,ROUND(G112*(1+Assumptions!$B$14)-(C112+E112)*Assumptions!$B$13,2))</f>
        <v/>
      </c>
      <c r="N112" s="25" t="inlineStr">
        <is>
          <t>Busy</t>
        </is>
      </c>
      <c r="O112" s="25" t="inlineStr">
        <is>
          <t>Busy</t>
        </is>
      </c>
      <c r="P112" s="25" t="inlineStr">
        <is>
          <t>Take</t>
        </is>
      </c>
      <c r="Q112" s="25" t="inlineStr">
        <is>
          <t>Take</t>
        </is>
      </c>
      <c r="R112" s="25" t="inlineStr">
        <is>
          <t>Busy</t>
        </is>
      </c>
      <c r="S112" s="25" t="inlineStr">
        <is>
          <t>cfd927</t>
        </is>
      </c>
    </row>
    <row r="113">
      <c r="A113" s="30" t="n">
        <v>46310.79375</v>
      </c>
      <c r="B113" s="12" t="inlineStr">
        <is>
          <t>Lyft</t>
        </is>
      </c>
      <c r="C113" s="31" t="n">
        <v>0.93</v>
      </c>
      <c r="D113" s="22" t="n">
        <v>5.4</v>
      </c>
      <c r="E113" s="31" t="n">
        <v>21.96</v>
      </c>
      <c r="F113" s="22" t="n">
        <v>53.4</v>
      </c>
      <c r="G113" s="32" t="n">
        <v>10.12</v>
      </c>
      <c r="H113" s="33">
        <f>IFERROR(G113/(C113+E113),0)</f>
        <v/>
      </c>
      <c r="I113" s="33">
        <f>IFERROR((G113-(C113+E113)*Assumptions!$B$13)/((D113+F113)/60),0)</f>
        <v/>
      </c>
      <c r="J113" s="12" t="inlineStr">
        <is>
          <t>Took</t>
        </is>
      </c>
      <c r="K113" s="32" t="n">
        <v>10.12</v>
      </c>
      <c r="L113" s="32" t="n">
        <v>3.76</v>
      </c>
      <c r="M113" s="33">
        <f>IF(J113="Took",L113,ROUND(G113*(1+Assumptions!$B$14)-(C113+E113)*Assumptions!$B$13,2))</f>
        <v/>
      </c>
      <c r="N113" s="12" t="inlineStr">
        <is>
          <t>Take</t>
        </is>
      </c>
      <c r="O113" s="12" t="inlineStr">
        <is>
          <t>Take</t>
        </is>
      </c>
      <c r="P113" s="12" t="inlineStr">
        <is>
          <t>Skip</t>
        </is>
      </c>
      <c r="Q113" s="12" t="inlineStr">
        <is>
          <t>Skip</t>
        </is>
      </c>
      <c r="R113" s="12" t="inlineStr">
        <is>
          <t>Take</t>
        </is>
      </c>
      <c r="S113" s="12" t="inlineStr">
        <is>
          <t>2991ab</t>
        </is>
      </c>
    </row>
    <row r="114">
      <c r="A114" s="24" t="n">
        <v>46310.87847222222</v>
      </c>
      <c r="B114" s="25" t="inlineStr">
        <is>
          <t>Uber</t>
        </is>
      </c>
      <c r="C114" s="26" t="n">
        <v>1.1</v>
      </c>
      <c r="D114" s="27" t="n">
        <v>4.9</v>
      </c>
      <c r="E114" s="26" t="n">
        <v>2.14</v>
      </c>
      <c r="F114" s="27" t="n">
        <v>10.9</v>
      </c>
      <c r="G114" s="28" t="n">
        <v>8.550000000000001</v>
      </c>
      <c r="H114" s="29">
        <f>IFERROR(G114/(C114+E114),0)</f>
        <v/>
      </c>
      <c r="I114" s="29">
        <f>IFERROR((G114-(C114+E114)*Assumptions!$B$13)/((D114+F114)/60),0)</f>
        <v/>
      </c>
      <c r="J114" s="25" t="inlineStr">
        <is>
          <t>Passed</t>
        </is>
      </c>
      <c r="K114" s="29" t="n"/>
      <c r="L114" s="29" t="n"/>
      <c r="M114" s="29">
        <f>IF(J114="Took",L114,ROUND(G114*(1+Assumptions!$B$14)-(C114+E114)*Assumptions!$B$13,2))</f>
        <v/>
      </c>
      <c r="N114" s="25" t="inlineStr">
        <is>
          <t>Take</t>
        </is>
      </c>
      <c r="O114" s="25" t="inlineStr">
        <is>
          <t>Take</t>
        </is>
      </c>
      <c r="P114" s="25" t="inlineStr">
        <is>
          <t>Busy</t>
        </is>
      </c>
      <c r="Q114" s="25" t="inlineStr">
        <is>
          <t>Busy</t>
        </is>
      </c>
      <c r="R114" s="25" t="inlineStr">
        <is>
          <t>Busy</t>
        </is>
      </c>
      <c r="S114" s="25" t="inlineStr">
        <is>
          <t>71d89a</t>
        </is>
      </c>
    </row>
    <row r="115">
      <c r="A115" s="30" t="n">
        <v>46310.87986111111</v>
      </c>
      <c r="B115" s="12" t="inlineStr">
        <is>
          <t>Uber</t>
        </is>
      </c>
      <c r="C115" s="31" t="n">
        <v>4.75</v>
      </c>
      <c r="D115" s="22" t="n">
        <v>14.8</v>
      </c>
      <c r="E115" s="31" t="n">
        <v>10.71</v>
      </c>
      <c r="F115" s="22" t="n">
        <v>27.9</v>
      </c>
      <c r="G115" s="32" t="n">
        <v>20.67</v>
      </c>
      <c r="H115" s="33">
        <f>IFERROR(G115/(C115+E115),0)</f>
        <v/>
      </c>
      <c r="I115" s="33">
        <f>IFERROR((G115-(C115+E115)*Assumptions!$B$13)/((D115+F115)/60),0)</f>
        <v/>
      </c>
      <c r="J115" s="12" t="inlineStr">
        <is>
          <t>Took</t>
        </is>
      </c>
      <c r="K115" s="32" t="n">
        <v>20.67</v>
      </c>
      <c r="L115" s="32" t="n">
        <v>16.32</v>
      </c>
      <c r="M115" s="33">
        <f>IF(J115="Took",L115,ROUND(G115*(1+Assumptions!$B$14)-(C115+E115)*Assumptions!$B$13,2))</f>
        <v/>
      </c>
      <c r="N115" s="12" t="inlineStr">
        <is>
          <t>Skip</t>
        </is>
      </c>
      <c r="O115" s="12" t="inlineStr">
        <is>
          <t>Skip</t>
        </is>
      </c>
      <c r="P115" s="12" t="inlineStr">
        <is>
          <t>Take</t>
        </is>
      </c>
      <c r="Q115" s="12" t="inlineStr">
        <is>
          <t>Take</t>
        </is>
      </c>
      <c r="R115" s="12" t="inlineStr">
        <is>
          <t>Take</t>
        </is>
      </c>
      <c r="S115" s="12" t="inlineStr">
        <is>
          <t>e058f5</t>
        </is>
      </c>
    </row>
    <row r="116">
      <c r="A116" s="24" t="n">
        <v>46310.89930555555</v>
      </c>
      <c r="B116" s="25" t="inlineStr">
        <is>
          <t>Uber</t>
        </is>
      </c>
      <c r="C116" s="26" t="n">
        <v>1.83</v>
      </c>
      <c r="D116" s="27" t="n">
        <v>6.8</v>
      </c>
      <c r="E116" s="26" t="n">
        <v>11.32</v>
      </c>
      <c r="F116" s="27" t="n">
        <v>30</v>
      </c>
      <c r="G116" s="28" t="n">
        <v>21.85</v>
      </c>
      <c r="H116" s="29">
        <f>IFERROR(G116/(C116+E116),0)</f>
        <v/>
      </c>
      <c r="I116" s="29">
        <f>IFERROR((G116-(C116+E116)*Assumptions!$B$13)/((D116+F116)/60),0)</f>
        <v/>
      </c>
      <c r="J116" s="25" t="inlineStr">
        <is>
          <t>Passed</t>
        </is>
      </c>
      <c r="K116" s="29" t="n"/>
      <c r="L116" s="29" t="n"/>
      <c r="M116" s="29">
        <f>IF(J116="Took",L116,ROUND(G116*(1+Assumptions!$B$14)-(C116+E116)*Assumptions!$B$13,2))</f>
        <v/>
      </c>
      <c r="N116" s="25" t="inlineStr">
        <is>
          <t>Busy</t>
        </is>
      </c>
      <c r="O116" s="25" t="inlineStr">
        <is>
          <t>Busy</t>
        </is>
      </c>
      <c r="P116" s="25" t="inlineStr">
        <is>
          <t>Busy</t>
        </is>
      </c>
      <c r="Q116" s="25" t="inlineStr">
        <is>
          <t>Busy</t>
        </is>
      </c>
      <c r="R116" s="25" t="inlineStr">
        <is>
          <t>Busy</t>
        </is>
      </c>
      <c r="S116" s="25" t="inlineStr">
        <is>
          <t>66ae27</t>
        </is>
      </c>
    </row>
    <row r="117">
      <c r="A117" s="30" t="n">
        <v>46310.90138888889</v>
      </c>
      <c r="B117" s="12" t="inlineStr">
        <is>
          <t>Uber</t>
        </is>
      </c>
      <c r="C117" s="31" t="n">
        <v>0.88</v>
      </c>
      <c r="D117" s="22" t="n">
        <v>4.6</v>
      </c>
      <c r="E117" s="31" t="n">
        <v>25.93</v>
      </c>
      <c r="F117" s="22" t="n">
        <v>62.6</v>
      </c>
      <c r="G117" s="32" t="n">
        <v>47.49</v>
      </c>
      <c r="H117" s="33">
        <f>IFERROR(G117/(C117+E117),0)</f>
        <v/>
      </c>
      <c r="I117" s="33">
        <f>IFERROR((G117-(C117+E117)*Assumptions!$B$13)/((D117+F117)/60),0)</f>
        <v/>
      </c>
      <c r="J117" s="12" t="inlineStr">
        <is>
          <t>Took</t>
        </is>
      </c>
      <c r="K117" s="32" t="n">
        <v>47.49</v>
      </c>
      <c r="L117" s="32" t="n">
        <v>39.99</v>
      </c>
      <c r="M117" s="33">
        <f>IF(J117="Took",L117,ROUND(G117*(1+Assumptions!$B$14)-(C117+E117)*Assumptions!$B$13,2))</f>
        <v/>
      </c>
      <c r="N117" s="12" t="inlineStr">
        <is>
          <t>Take</t>
        </is>
      </c>
      <c r="O117" s="12" t="inlineStr">
        <is>
          <t>Take</t>
        </is>
      </c>
      <c r="P117" s="12" t="inlineStr">
        <is>
          <t>Take</t>
        </is>
      </c>
      <c r="Q117" s="12" t="inlineStr">
        <is>
          <t>Take</t>
        </is>
      </c>
      <c r="R117" s="12" t="inlineStr">
        <is>
          <t>Take</t>
        </is>
      </c>
      <c r="S117" s="12" t="inlineStr">
        <is>
          <t>296805</t>
        </is>
      </c>
    </row>
    <row r="118">
      <c r="A118" s="24" t="n">
        <v>46311.34791666667</v>
      </c>
      <c r="B118" s="25" t="inlineStr">
        <is>
          <t>Uber</t>
        </is>
      </c>
      <c r="C118" s="26" t="n">
        <v>0.97</v>
      </c>
      <c r="D118" s="27" t="n">
        <v>3.8</v>
      </c>
      <c r="E118" s="26" t="n">
        <v>12.79</v>
      </c>
      <c r="F118" s="27" t="n">
        <v>37.9</v>
      </c>
      <c r="G118" s="28" t="n">
        <v>11.27</v>
      </c>
      <c r="H118" s="29">
        <f>IFERROR(G118/(C118+E118),0)</f>
        <v/>
      </c>
      <c r="I118" s="29">
        <f>IFERROR((G118-(C118+E118)*Assumptions!$B$13)/((D118+F118)/60),0)</f>
        <v/>
      </c>
      <c r="J118" s="25" t="inlineStr">
        <is>
          <t>Took</t>
        </is>
      </c>
      <c r="K118" s="28" t="n">
        <v>11.27</v>
      </c>
      <c r="L118" s="28" t="n">
        <v>7.4</v>
      </c>
      <c r="M118" s="29">
        <f>IF(J118="Took",L118,ROUND(G118*(1+Assumptions!$B$14)-(C118+E118)*Assumptions!$B$13,2))</f>
        <v/>
      </c>
      <c r="N118" s="25" t="inlineStr">
        <is>
          <t>Take</t>
        </is>
      </c>
      <c r="O118" s="25" t="inlineStr">
        <is>
          <t>Take</t>
        </is>
      </c>
      <c r="P118" s="25" t="inlineStr">
        <is>
          <t>Skip</t>
        </is>
      </c>
      <c r="Q118" s="25" t="inlineStr">
        <is>
          <t>Skip</t>
        </is>
      </c>
      <c r="R118" s="25" t="inlineStr">
        <is>
          <t>Take</t>
        </is>
      </c>
      <c r="S118" s="25" t="inlineStr">
        <is>
          <t>b9ca1a</t>
        </is>
      </c>
    </row>
    <row r="119">
      <c r="A119" s="30" t="n">
        <v>46311.5375</v>
      </c>
      <c r="B119" s="12" t="inlineStr">
        <is>
          <t>Uber</t>
        </is>
      </c>
      <c r="C119" s="31" t="n">
        <v>0.9</v>
      </c>
      <c r="D119" s="22" t="n">
        <v>5</v>
      </c>
      <c r="E119" s="31" t="n">
        <v>20.89</v>
      </c>
      <c r="F119" s="22" t="n">
        <v>53.6</v>
      </c>
      <c r="G119" s="32" t="n">
        <v>37.19</v>
      </c>
      <c r="H119" s="33">
        <f>IFERROR(G119/(C119+E119),0)</f>
        <v/>
      </c>
      <c r="I119" s="33">
        <f>IFERROR((G119-(C119+E119)*Assumptions!$B$13)/((D119+F119)/60),0)</f>
        <v/>
      </c>
      <c r="J119" s="12" t="inlineStr">
        <is>
          <t>Took</t>
        </is>
      </c>
      <c r="K119" s="32" t="n">
        <v>37.19</v>
      </c>
      <c r="L119" s="32" t="n">
        <v>31.08</v>
      </c>
      <c r="M119" s="33">
        <f>IF(J119="Took",L119,ROUND(G119*(1+Assumptions!$B$14)-(C119+E119)*Assumptions!$B$13,2))</f>
        <v/>
      </c>
      <c r="N119" s="12" t="inlineStr">
        <is>
          <t>Take</t>
        </is>
      </c>
      <c r="O119" s="12" t="inlineStr">
        <is>
          <t>Take</t>
        </is>
      </c>
      <c r="P119" s="12" t="inlineStr">
        <is>
          <t>Take</t>
        </is>
      </c>
      <c r="Q119" s="12" t="inlineStr">
        <is>
          <t>Take</t>
        </is>
      </c>
      <c r="R119" s="12" t="inlineStr">
        <is>
          <t>Take</t>
        </is>
      </c>
      <c r="S119" s="12" t="inlineStr">
        <is>
          <t>701138</t>
        </is>
      </c>
    </row>
    <row r="120">
      <c r="A120" s="24" t="n">
        <v>46311.55347222222</v>
      </c>
      <c r="B120" s="25" t="inlineStr">
        <is>
          <t>Lyft</t>
        </is>
      </c>
      <c r="C120" s="26" t="n">
        <v>5.14</v>
      </c>
      <c r="D120" s="27" t="n">
        <v>15.4</v>
      </c>
      <c r="E120" s="26" t="n">
        <v>18.78</v>
      </c>
      <c r="F120" s="27" t="n">
        <v>45.8</v>
      </c>
      <c r="G120" s="28" t="n">
        <v>32.67</v>
      </c>
      <c r="H120" s="29">
        <f>IFERROR(G120/(C120+E120),0)</f>
        <v/>
      </c>
      <c r="I120" s="29">
        <f>IFERROR((G120-(C120+E120)*Assumptions!$B$13)/((D120+F120)/60),0)</f>
        <v/>
      </c>
      <c r="J120" s="25" t="inlineStr">
        <is>
          <t>Passed</t>
        </is>
      </c>
      <c r="K120" s="29" t="n"/>
      <c r="L120" s="29" t="n"/>
      <c r="M120" s="29">
        <f>IF(J120="Took",L120,ROUND(G120*(1+Assumptions!$B$14)-(C120+E120)*Assumptions!$B$13,2))</f>
        <v/>
      </c>
      <c r="N120" s="25" t="inlineStr">
        <is>
          <t>Skip</t>
        </is>
      </c>
      <c r="O120" s="25" t="inlineStr">
        <is>
          <t>Skip</t>
        </is>
      </c>
      <c r="P120" s="25" t="inlineStr">
        <is>
          <t>Busy</t>
        </is>
      </c>
      <c r="Q120" s="25" t="inlineStr">
        <is>
          <t>Busy</t>
        </is>
      </c>
      <c r="R120" s="25" t="inlineStr">
        <is>
          <t>Busy</t>
        </is>
      </c>
      <c r="S120" s="25" t="inlineStr">
        <is>
          <t>49abe5</t>
        </is>
      </c>
    </row>
    <row r="121">
      <c r="A121" s="30" t="n">
        <v>46311.55625</v>
      </c>
      <c r="B121" s="12" t="inlineStr">
        <is>
          <t>Uber</t>
        </is>
      </c>
      <c r="C121" s="31" t="n">
        <v>0.58</v>
      </c>
      <c r="D121" s="22" t="n">
        <v>2.6</v>
      </c>
      <c r="E121" s="31" t="n">
        <v>10.04</v>
      </c>
      <c r="F121" s="22" t="n">
        <v>27.4</v>
      </c>
      <c r="G121" s="32" t="n">
        <v>19.45</v>
      </c>
      <c r="H121" s="33">
        <f>IFERROR(G121/(C121+E121),0)</f>
        <v/>
      </c>
      <c r="I121" s="33">
        <f>IFERROR((G121-(C121+E121)*Assumptions!$B$13)/((D121+F121)/60),0)</f>
        <v/>
      </c>
      <c r="J121" s="12" t="inlineStr">
        <is>
          <t>Took</t>
        </is>
      </c>
      <c r="K121" s="32" t="n">
        <v>19.45</v>
      </c>
      <c r="L121" s="32" t="n">
        <v>16.49</v>
      </c>
      <c r="M121" s="33">
        <f>IF(J121="Took",L121,ROUND(G121*(1+Assumptions!$B$14)-(C121+E121)*Assumptions!$B$13,2))</f>
        <v/>
      </c>
      <c r="N121" s="12" t="inlineStr">
        <is>
          <t>Take</t>
        </is>
      </c>
      <c r="O121" s="12" t="inlineStr">
        <is>
          <t>Take</t>
        </is>
      </c>
      <c r="P121" s="12" t="inlineStr">
        <is>
          <t>Take</t>
        </is>
      </c>
      <c r="Q121" s="12" t="inlineStr">
        <is>
          <t>Take</t>
        </is>
      </c>
      <c r="R121" s="12" t="inlineStr">
        <is>
          <t>Take</t>
        </is>
      </c>
      <c r="S121" s="12" t="inlineStr">
        <is>
          <t>8233c9</t>
        </is>
      </c>
    </row>
    <row r="122">
      <c r="A122" s="24" t="n">
        <v>46311.65694444445</v>
      </c>
      <c r="B122" s="25" t="inlineStr">
        <is>
          <t>Uber</t>
        </is>
      </c>
      <c r="C122" s="26" t="n">
        <v>4.53</v>
      </c>
      <c r="D122" s="27" t="n">
        <v>13.5</v>
      </c>
      <c r="E122" s="26" t="n">
        <v>11.44</v>
      </c>
      <c r="F122" s="27" t="n">
        <v>30.3</v>
      </c>
      <c r="G122" s="28" t="n">
        <v>21.82</v>
      </c>
      <c r="H122" s="29">
        <f>IFERROR(G122/(C122+E122),0)</f>
        <v/>
      </c>
      <c r="I122" s="29">
        <f>IFERROR((G122-(C122+E122)*Assumptions!$B$13)/((D122+F122)/60),0)</f>
        <v/>
      </c>
      <c r="J122" s="25" t="inlineStr">
        <is>
          <t>Took</t>
        </is>
      </c>
      <c r="K122" s="28" t="n">
        <v>4.54</v>
      </c>
      <c r="L122" s="28" t="n">
        <v>3.27</v>
      </c>
      <c r="M122" s="29">
        <f>IF(J122="Took",L122,ROUND(G122*(1+Assumptions!$B$14)-(C122+E122)*Assumptions!$B$13,2))</f>
        <v/>
      </c>
      <c r="N122" s="25" t="inlineStr">
        <is>
          <t>Skip</t>
        </is>
      </c>
      <c r="O122" s="25" t="inlineStr">
        <is>
          <t>Skip</t>
        </is>
      </c>
      <c r="P122" s="25" t="inlineStr">
        <is>
          <t>Take</t>
        </is>
      </c>
      <c r="Q122" s="25" t="inlineStr">
        <is>
          <t>Take</t>
        </is>
      </c>
      <c r="R122" s="25" t="inlineStr">
        <is>
          <t>Take</t>
        </is>
      </c>
      <c r="S122" s="25" t="inlineStr">
        <is>
          <t>88f242</t>
        </is>
      </c>
    </row>
    <row r="123">
      <c r="A123" s="30" t="n">
        <v>46311.78819444445</v>
      </c>
      <c r="B123" s="12" t="inlineStr">
        <is>
          <t>Lyft</t>
        </is>
      </c>
      <c r="C123" s="31" t="n">
        <v>3.58</v>
      </c>
      <c r="D123" s="22" t="n">
        <v>11.3</v>
      </c>
      <c r="E123" s="31" t="n">
        <v>2.33</v>
      </c>
      <c r="F123" s="22" t="n">
        <v>10.3</v>
      </c>
      <c r="G123" s="32" t="n">
        <v>6.5</v>
      </c>
      <c r="H123" s="33">
        <f>IFERROR(G123/(C123+E123),0)</f>
        <v/>
      </c>
      <c r="I123" s="33">
        <f>IFERROR((G123-(C123+E123)*Assumptions!$B$13)/((D123+F123)/60),0)</f>
        <v/>
      </c>
      <c r="J123" s="12" t="inlineStr">
        <is>
          <t>Passed</t>
        </is>
      </c>
      <c r="K123" s="33" t="n"/>
      <c r="L123" s="33" t="n"/>
      <c r="M123" s="33">
        <f>IF(J123="Took",L123,ROUND(G123*(1+Assumptions!$B$14)-(C123+E123)*Assumptions!$B$13,2))</f>
        <v/>
      </c>
      <c r="N123" s="12" t="inlineStr">
        <is>
          <t>Skip</t>
        </is>
      </c>
      <c r="O123" s="12" t="inlineStr">
        <is>
          <t>Skip</t>
        </is>
      </c>
      <c r="P123" s="12" t="inlineStr">
        <is>
          <t>Take</t>
        </is>
      </c>
      <c r="Q123" s="12" t="inlineStr">
        <is>
          <t>Skip</t>
        </is>
      </c>
      <c r="R123" s="12" t="inlineStr">
        <is>
          <t>Busy</t>
        </is>
      </c>
      <c r="S123" s="12" t="inlineStr">
        <is>
          <t>9e0258</t>
        </is>
      </c>
    </row>
    <row r="124">
      <c r="A124" s="24" t="n">
        <v>46311.79722222222</v>
      </c>
      <c r="B124" s="25" t="inlineStr">
        <is>
          <t>Uber</t>
        </is>
      </c>
      <c r="C124" s="26" t="n">
        <v>2.56</v>
      </c>
      <c r="D124" s="27" t="n">
        <v>8.199999999999999</v>
      </c>
      <c r="E124" s="26" t="n">
        <v>9.029999999999999</v>
      </c>
      <c r="F124" s="27" t="n">
        <v>27.8</v>
      </c>
      <c r="G124" s="28" t="n">
        <v>7.85</v>
      </c>
      <c r="H124" s="29">
        <f>IFERROR(G124/(C124+E124),0)</f>
        <v/>
      </c>
      <c r="I124" s="29">
        <f>IFERROR((G124-(C124+E124)*Assumptions!$B$13)/((D124+F124)/60),0)</f>
        <v/>
      </c>
      <c r="J124" s="25" t="inlineStr">
        <is>
          <t>Took</t>
        </is>
      </c>
      <c r="K124" s="28" t="n">
        <v>10.8</v>
      </c>
      <c r="L124" s="28" t="n">
        <v>7.58</v>
      </c>
      <c r="M124" s="29">
        <f>IF(J124="Took",L124,ROUND(G124*(1+Assumptions!$B$14)-(C124+E124)*Assumptions!$B$13,2))</f>
        <v/>
      </c>
      <c r="N124" s="25" t="inlineStr">
        <is>
          <t>Take</t>
        </is>
      </c>
      <c r="O124" s="25" t="inlineStr">
        <is>
          <t>Skip</t>
        </is>
      </c>
      <c r="P124" s="25" t="inlineStr">
        <is>
          <t>Skip</t>
        </is>
      </c>
      <c r="Q124" s="25" t="inlineStr">
        <is>
          <t>Skip</t>
        </is>
      </c>
      <c r="R124" s="25" t="inlineStr">
        <is>
          <t>Take</t>
        </is>
      </c>
      <c r="S124" s="25" t="inlineStr">
        <is>
          <t>7634f8</t>
        </is>
      </c>
    </row>
    <row r="125">
      <c r="A125" s="30" t="n">
        <v>46311.80486111111</v>
      </c>
      <c r="B125" s="12" t="inlineStr">
        <is>
          <t>Lyft</t>
        </is>
      </c>
      <c r="C125" s="31" t="n">
        <v>2</v>
      </c>
      <c r="D125" s="22" t="n">
        <v>7.2</v>
      </c>
      <c r="E125" s="31" t="n">
        <v>4.86</v>
      </c>
      <c r="F125" s="22" t="n">
        <v>16.6</v>
      </c>
      <c r="G125" s="32" t="n">
        <v>10.74</v>
      </c>
      <c r="H125" s="33">
        <f>IFERROR(G125/(C125+E125),0)</f>
        <v/>
      </c>
      <c r="I125" s="33">
        <f>IFERROR((G125-(C125+E125)*Assumptions!$B$13)/((D125+F125)/60),0)</f>
        <v/>
      </c>
      <c r="J125" s="12" t="inlineStr">
        <is>
          <t>Passed</t>
        </is>
      </c>
      <c r="K125" s="33" t="n"/>
      <c r="L125" s="33" t="n"/>
      <c r="M125" s="33">
        <f>IF(J125="Took",L125,ROUND(G125*(1+Assumptions!$B$14)-(C125+E125)*Assumptions!$B$13,2))</f>
        <v/>
      </c>
      <c r="N125" s="12" t="inlineStr">
        <is>
          <t>Busy</t>
        </is>
      </c>
      <c r="O125" s="12" t="inlineStr">
        <is>
          <t>Take</t>
        </is>
      </c>
      <c r="P125" s="12" t="inlineStr">
        <is>
          <t>Take</t>
        </is>
      </c>
      <c r="Q125" s="12" t="inlineStr">
        <is>
          <t>Take</t>
        </is>
      </c>
      <c r="R125" s="12" t="inlineStr">
        <is>
          <t>Busy</t>
        </is>
      </c>
      <c r="S125" s="12" t="inlineStr">
        <is>
          <t>5edd53</t>
        </is>
      </c>
    </row>
    <row r="126">
      <c r="A126" s="24" t="n">
        <v>46311.81111111111</v>
      </c>
      <c r="B126" s="25" t="inlineStr">
        <is>
          <t>Uber</t>
        </is>
      </c>
      <c r="C126" s="26" t="n">
        <v>1.73</v>
      </c>
      <c r="D126" s="27" t="n">
        <v>6.2</v>
      </c>
      <c r="E126" s="26" t="n">
        <v>13.38</v>
      </c>
      <c r="F126" s="27" t="n">
        <v>36.7</v>
      </c>
      <c r="G126" s="28" t="n">
        <v>20.22</v>
      </c>
      <c r="H126" s="29">
        <f>IFERROR(G126/(C126+E126),0)</f>
        <v/>
      </c>
      <c r="I126" s="29">
        <f>IFERROR((G126-(C126+E126)*Assumptions!$B$13)/((D126+F126)/60),0)</f>
        <v/>
      </c>
      <c r="J126" s="25" t="inlineStr">
        <is>
          <t>Took</t>
        </is>
      </c>
      <c r="K126" s="28" t="n">
        <v>20.22</v>
      </c>
      <c r="L126" s="28" t="n">
        <v>15.96</v>
      </c>
      <c r="M126" s="29">
        <f>IF(J126="Took",L126,ROUND(G126*(1+Assumptions!$B$14)-(C126+E126)*Assumptions!$B$13,2))</f>
        <v/>
      </c>
      <c r="N126" s="25" t="inlineStr">
        <is>
          <t>Take</t>
        </is>
      </c>
      <c r="O126" s="25" t="inlineStr">
        <is>
          <t>Take</t>
        </is>
      </c>
      <c r="P126" s="25" t="inlineStr">
        <is>
          <t>Take</t>
        </is>
      </c>
      <c r="Q126" s="25" t="inlineStr">
        <is>
          <t>Take</t>
        </is>
      </c>
      <c r="R126" s="25" t="inlineStr">
        <is>
          <t>Take</t>
        </is>
      </c>
      <c r="S126" s="25" t="inlineStr">
        <is>
          <t>16a9c5</t>
        </is>
      </c>
    </row>
    <row r="127">
      <c r="A127" s="30" t="n">
        <v>46311.94097222222</v>
      </c>
      <c r="B127" s="12" t="inlineStr">
        <is>
          <t>Uber</t>
        </is>
      </c>
      <c r="C127" s="31" t="n">
        <v>3.07</v>
      </c>
      <c r="D127" s="22" t="n">
        <v>10</v>
      </c>
      <c r="E127" s="31" t="n">
        <v>23.63</v>
      </c>
      <c r="F127" s="22" t="n">
        <v>59.4</v>
      </c>
      <c r="G127" s="32" t="n">
        <v>43.58</v>
      </c>
      <c r="H127" s="33">
        <f>IFERROR(G127/(C127+E127),0)</f>
        <v/>
      </c>
      <c r="I127" s="33">
        <f>IFERROR((G127-(C127+E127)*Assumptions!$B$13)/((D127+F127)/60),0)</f>
        <v/>
      </c>
      <c r="J127" s="12" t="inlineStr">
        <is>
          <t>Passed</t>
        </is>
      </c>
      <c r="K127" s="33" t="n"/>
      <c r="L127" s="33" t="n"/>
      <c r="M127" s="33">
        <f>IF(J127="Took",L127,ROUND(G127*(1+Assumptions!$B$14)-(C127+E127)*Assumptions!$B$13,2))</f>
        <v/>
      </c>
      <c r="N127" s="12" t="inlineStr">
        <is>
          <t>Skip</t>
        </is>
      </c>
      <c r="O127" s="12" t="inlineStr">
        <is>
          <t>Skip</t>
        </is>
      </c>
      <c r="P127" s="12" t="inlineStr">
        <is>
          <t>Busy</t>
        </is>
      </c>
      <c r="Q127" s="12" t="inlineStr">
        <is>
          <t>Busy</t>
        </is>
      </c>
      <c r="R127" s="12" t="inlineStr">
        <is>
          <t>Busy</t>
        </is>
      </c>
      <c r="S127" s="12" t="inlineStr">
        <is>
          <t>112f06</t>
        </is>
      </c>
    </row>
    <row r="128">
      <c r="A128" s="24" t="n">
        <v>46311.95138888889</v>
      </c>
      <c r="B128" s="25" t="inlineStr">
        <is>
          <t>Lyft</t>
        </is>
      </c>
      <c r="C128" s="26" t="n">
        <v>0.93</v>
      </c>
      <c r="D128" s="27" t="n">
        <v>4.5</v>
      </c>
      <c r="E128" s="26" t="n">
        <v>7.2</v>
      </c>
      <c r="F128" s="27" t="n">
        <v>21.1</v>
      </c>
      <c r="G128" s="28" t="n">
        <v>16.9</v>
      </c>
      <c r="H128" s="29">
        <f>IFERROR(G128/(C128+E128),0)</f>
        <v/>
      </c>
      <c r="I128" s="29">
        <f>IFERROR((G128-(C128+E128)*Assumptions!$B$13)/((D128+F128)/60),0)</f>
        <v/>
      </c>
      <c r="J128" s="25" t="inlineStr">
        <is>
          <t>Took</t>
        </is>
      </c>
      <c r="K128" s="28" t="n">
        <v>16.9</v>
      </c>
      <c r="L128" s="28" t="n">
        <v>14.61</v>
      </c>
      <c r="M128" s="29">
        <f>IF(J128="Took",L128,ROUND(G128*(1+Assumptions!$B$14)-(C128+E128)*Assumptions!$B$13,2))</f>
        <v/>
      </c>
      <c r="N128" s="25" t="inlineStr">
        <is>
          <t>Take</t>
        </is>
      </c>
      <c r="O128" s="25" t="inlineStr">
        <is>
          <t>Take</t>
        </is>
      </c>
      <c r="P128" s="25" t="inlineStr">
        <is>
          <t>Take</t>
        </is>
      </c>
      <c r="Q128" s="25" t="inlineStr">
        <is>
          <t>Take</t>
        </is>
      </c>
      <c r="R128" s="25" t="inlineStr">
        <is>
          <t>Take</t>
        </is>
      </c>
      <c r="S128" s="25" t="inlineStr">
        <is>
          <t>df97c6</t>
        </is>
      </c>
    </row>
    <row r="129">
      <c r="A129" s="30" t="n">
        <v>46312.24861111111</v>
      </c>
      <c r="B129" s="12" t="inlineStr">
        <is>
          <t>Lyft</t>
        </is>
      </c>
      <c r="C129" s="31" t="n">
        <v>5.65</v>
      </c>
      <c r="D129" s="22" t="n">
        <v>16.7</v>
      </c>
      <c r="E129" s="31" t="n">
        <v>11.94</v>
      </c>
      <c r="F129" s="22" t="n">
        <v>32.6</v>
      </c>
      <c r="G129" s="32" t="n">
        <v>23.41</v>
      </c>
      <c r="H129" s="33">
        <f>IFERROR(G129/(C129+E129),0)</f>
        <v/>
      </c>
      <c r="I129" s="33">
        <f>IFERROR((G129-(C129+E129)*Assumptions!$B$13)/((D129+F129)/60),0)</f>
        <v/>
      </c>
      <c r="J129" s="12" t="inlineStr">
        <is>
          <t>Passed</t>
        </is>
      </c>
      <c r="K129" s="33" t="n"/>
      <c r="L129" s="33" t="n"/>
      <c r="M129" s="33">
        <f>IF(J129="Took",L129,ROUND(G129*(1+Assumptions!$B$14)-(C129+E129)*Assumptions!$B$13,2))</f>
        <v/>
      </c>
      <c r="N129" s="12" t="inlineStr">
        <is>
          <t>Skip</t>
        </is>
      </c>
      <c r="O129" s="12" t="inlineStr">
        <is>
          <t>Skip</t>
        </is>
      </c>
      <c r="P129" s="12" t="inlineStr">
        <is>
          <t>Busy</t>
        </is>
      </c>
      <c r="Q129" s="12" t="inlineStr">
        <is>
          <t>Busy</t>
        </is>
      </c>
      <c r="R129" s="12" t="inlineStr">
        <is>
          <t>Busy</t>
        </is>
      </c>
      <c r="S129" s="12" t="inlineStr">
        <is>
          <t>d8cea7</t>
        </is>
      </c>
    </row>
    <row r="130">
      <c r="A130" s="24" t="n">
        <v>46312.25069444445</v>
      </c>
      <c r="B130" s="25" t="inlineStr">
        <is>
          <t>Uber</t>
        </is>
      </c>
      <c r="C130" s="26" t="n">
        <v>1.43</v>
      </c>
      <c r="D130" s="27" t="n">
        <v>4.7</v>
      </c>
      <c r="E130" s="26" t="n">
        <v>26.61</v>
      </c>
      <c r="F130" s="27" t="n">
        <v>63.7</v>
      </c>
      <c r="G130" s="28" t="n">
        <v>57.06</v>
      </c>
      <c r="H130" s="29">
        <f>IFERROR(G130/(C130+E130),0)</f>
        <v/>
      </c>
      <c r="I130" s="29">
        <f>IFERROR((G130-(C130+E130)*Assumptions!$B$13)/((D130+F130)/60),0)</f>
        <v/>
      </c>
      <c r="J130" s="25" t="inlineStr">
        <is>
          <t>Took</t>
        </is>
      </c>
      <c r="K130" s="28" t="n">
        <v>57.06</v>
      </c>
      <c r="L130" s="28" t="n">
        <v>49.29</v>
      </c>
      <c r="M130" s="29">
        <f>IF(J130="Took",L130,ROUND(G130*(1+Assumptions!$B$14)-(C130+E130)*Assumptions!$B$13,2))</f>
        <v/>
      </c>
      <c r="N130" s="25" t="inlineStr">
        <is>
          <t>Take</t>
        </is>
      </c>
      <c r="O130" s="25" t="inlineStr">
        <is>
          <t>Take</t>
        </is>
      </c>
      <c r="P130" s="25" t="inlineStr">
        <is>
          <t>Take</t>
        </is>
      </c>
      <c r="Q130" s="25" t="inlineStr">
        <is>
          <t>Take</t>
        </is>
      </c>
      <c r="R130" s="25" t="inlineStr">
        <is>
          <t>Take</t>
        </is>
      </c>
      <c r="S130" s="25" t="inlineStr">
        <is>
          <t>502f50</t>
        </is>
      </c>
    </row>
    <row r="131">
      <c r="A131" s="30" t="n">
        <v>46312.41041666667</v>
      </c>
      <c r="B131" s="12" t="inlineStr">
        <is>
          <t>Uber</t>
        </is>
      </c>
      <c r="C131" s="31" t="n">
        <v>3.01</v>
      </c>
      <c r="D131" s="22" t="n">
        <v>9</v>
      </c>
      <c r="E131" s="31" t="n">
        <v>10</v>
      </c>
      <c r="F131" s="22" t="n">
        <v>27</v>
      </c>
      <c r="G131" s="32" t="n">
        <v>19.44</v>
      </c>
      <c r="H131" s="33">
        <f>IFERROR(G131/(C131+E131),0)</f>
        <v/>
      </c>
      <c r="I131" s="33">
        <f>IFERROR((G131-(C131+E131)*Assumptions!$B$13)/((D131+F131)/60),0)</f>
        <v/>
      </c>
      <c r="J131" s="12" t="inlineStr">
        <is>
          <t>Took</t>
        </is>
      </c>
      <c r="K131" s="32" t="n">
        <v>4.68</v>
      </c>
      <c r="L131" s="32" t="n">
        <v>3.85</v>
      </c>
      <c r="M131" s="33">
        <f>IF(J131="Took",L131,ROUND(G131*(1+Assumptions!$B$14)-(C131+E131)*Assumptions!$B$13,2))</f>
        <v/>
      </c>
      <c r="N131" s="12" t="inlineStr">
        <is>
          <t>Skip</t>
        </is>
      </c>
      <c r="O131" s="12" t="inlineStr">
        <is>
          <t>Skip</t>
        </is>
      </c>
      <c r="P131" s="12" t="inlineStr">
        <is>
          <t>Take</t>
        </is>
      </c>
      <c r="Q131" s="12" t="inlineStr">
        <is>
          <t>Take</t>
        </is>
      </c>
      <c r="R131" s="12" t="inlineStr">
        <is>
          <t>Take</t>
        </is>
      </c>
      <c r="S131" s="12" t="inlineStr">
        <is>
          <t>c16f50</t>
        </is>
      </c>
    </row>
    <row r="132">
      <c r="A132" s="24" t="n">
        <v>46312.46875</v>
      </c>
      <c r="B132" s="25" t="inlineStr">
        <is>
          <t>Uber</t>
        </is>
      </c>
      <c r="C132" s="26" t="n">
        <v>2.97</v>
      </c>
      <c r="D132" s="27" t="n">
        <v>9.699999999999999</v>
      </c>
      <c r="E132" s="26" t="n">
        <v>19.79</v>
      </c>
      <c r="F132" s="27" t="n">
        <v>49.7</v>
      </c>
      <c r="G132" s="28" t="n">
        <v>37.28</v>
      </c>
      <c r="H132" s="29">
        <f>IFERROR(G132/(C132+E132),0)</f>
        <v/>
      </c>
      <c r="I132" s="29">
        <f>IFERROR((G132-(C132+E132)*Assumptions!$B$13)/((D132+F132)/60),0)</f>
        <v/>
      </c>
      <c r="J132" s="25" t="inlineStr">
        <is>
          <t>Passed</t>
        </is>
      </c>
      <c r="K132" s="29" t="n"/>
      <c r="L132" s="29" t="n"/>
      <c r="M132" s="29">
        <f>IF(J132="Took",L132,ROUND(G132*(1+Assumptions!$B$14)-(C132+E132)*Assumptions!$B$13,2))</f>
        <v/>
      </c>
      <c r="N132" s="25" t="inlineStr">
        <is>
          <t>Take</t>
        </is>
      </c>
      <c r="O132" s="25" t="inlineStr">
        <is>
          <t>Skip</t>
        </is>
      </c>
      <c r="P132" s="25" t="inlineStr">
        <is>
          <t>Busy</t>
        </is>
      </c>
      <c r="Q132" s="25" t="inlineStr">
        <is>
          <t>Busy</t>
        </is>
      </c>
      <c r="R132" s="25" t="inlineStr">
        <is>
          <t>Busy</t>
        </is>
      </c>
      <c r="S132" s="25" t="inlineStr">
        <is>
          <t>0cbd86</t>
        </is>
      </c>
    </row>
    <row r="133">
      <c r="A133" s="30" t="n">
        <v>46312.48055555556</v>
      </c>
      <c r="B133" s="12" t="inlineStr">
        <is>
          <t>Uber</t>
        </is>
      </c>
      <c r="C133" s="31" t="n">
        <v>3.29</v>
      </c>
      <c r="D133" s="22" t="n">
        <v>9.699999999999999</v>
      </c>
      <c r="E133" s="31" t="n">
        <v>23.49</v>
      </c>
      <c r="F133" s="22" t="n">
        <v>60.3</v>
      </c>
      <c r="G133" s="32" t="n">
        <v>47.25</v>
      </c>
      <c r="H133" s="33">
        <f>IFERROR(G133/(C133+E133),0)</f>
        <v/>
      </c>
      <c r="I133" s="33">
        <f>IFERROR((G133-(C133+E133)*Assumptions!$B$13)/((D133+F133)/60),0)</f>
        <v/>
      </c>
      <c r="J133" s="12" t="inlineStr">
        <is>
          <t>Took</t>
        </is>
      </c>
      <c r="K133" s="32" t="n">
        <v>47.25</v>
      </c>
      <c r="L133" s="32" t="n">
        <v>39.72</v>
      </c>
      <c r="M133" s="33">
        <f>IF(J133="Took",L133,ROUND(G133*(1+Assumptions!$B$14)-(C133+E133)*Assumptions!$B$13,2))</f>
        <v/>
      </c>
      <c r="N133" s="12" t="inlineStr">
        <is>
          <t>Skip</t>
        </is>
      </c>
      <c r="O133" s="12" t="inlineStr">
        <is>
          <t>Skip</t>
        </is>
      </c>
      <c r="P133" s="12" t="inlineStr">
        <is>
          <t>Take</t>
        </is>
      </c>
      <c r="Q133" s="12" t="inlineStr">
        <is>
          <t>Take</t>
        </is>
      </c>
      <c r="R133" s="12" t="inlineStr">
        <is>
          <t>Take</t>
        </is>
      </c>
      <c r="S133" s="12" t="inlineStr">
        <is>
          <t>32b2c1</t>
        </is>
      </c>
    </row>
    <row r="134">
      <c r="A134" s="24" t="n">
        <v>46312.54652777778</v>
      </c>
      <c r="B134" s="25" t="inlineStr">
        <is>
          <t>Lyft</t>
        </is>
      </c>
      <c r="C134" s="26" t="n">
        <v>4.42</v>
      </c>
      <c r="D134" s="27" t="n">
        <v>13.5</v>
      </c>
      <c r="E134" s="26" t="n">
        <v>3.8</v>
      </c>
      <c r="F134" s="27" t="n">
        <v>12</v>
      </c>
      <c r="G134" s="28" t="n">
        <v>8.859999999999999</v>
      </c>
      <c r="H134" s="29">
        <f>IFERROR(G134/(C134+E134),0)</f>
        <v/>
      </c>
      <c r="I134" s="29">
        <f>IFERROR((G134-(C134+E134)*Assumptions!$B$13)/((D134+F134)/60),0)</f>
        <v/>
      </c>
      <c r="J134" s="25" t="inlineStr">
        <is>
          <t>Passed</t>
        </is>
      </c>
      <c r="K134" s="29" t="n"/>
      <c r="L134" s="29" t="n"/>
      <c r="M134" s="29">
        <f>IF(J134="Took",L134,ROUND(G134*(1+Assumptions!$B$14)-(C134+E134)*Assumptions!$B$13,2))</f>
        <v/>
      </c>
      <c r="N134" s="25" t="inlineStr">
        <is>
          <t>Skip</t>
        </is>
      </c>
      <c r="O134" s="25" t="inlineStr">
        <is>
          <t>Skip</t>
        </is>
      </c>
      <c r="P134" s="25" t="inlineStr">
        <is>
          <t>Busy</t>
        </is>
      </c>
      <c r="Q134" s="25" t="inlineStr">
        <is>
          <t>Skip</t>
        </is>
      </c>
      <c r="R134" s="25" t="inlineStr">
        <is>
          <t>Busy</t>
        </is>
      </c>
      <c r="S134" s="25" t="inlineStr">
        <is>
          <t>95c019</t>
        </is>
      </c>
    </row>
    <row r="135">
      <c r="A135" s="30" t="n">
        <v>46312.54930555556</v>
      </c>
      <c r="B135" s="12" t="inlineStr">
        <is>
          <t>Uber</t>
        </is>
      </c>
      <c r="C135" s="31" t="n">
        <v>4.63</v>
      </c>
      <c r="D135" s="22" t="n">
        <v>13.8</v>
      </c>
      <c r="E135" s="31" t="n">
        <v>21.06</v>
      </c>
      <c r="F135" s="22" t="n">
        <v>55.9</v>
      </c>
      <c r="G135" s="32" t="n">
        <v>36.39</v>
      </c>
      <c r="H135" s="33">
        <f>IFERROR(G135/(C135+E135),0)</f>
        <v/>
      </c>
      <c r="I135" s="33">
        <f>IFERROR((G135-(C135+E135)*Assumptions!$B$13)/((D135+F135)/60),0)</f>
        <v/>
      </c>
      <c r="J135" s="12" t="inlineStr">
        <is>
          <t>Took</t>
        </is>
      </c>
      <c r="K135" s="32" t="n">
        <v>42.13</v>
      </c>
      <c r="L135" s="32" t="n">
        <v>34.98</v>
      </c>
      <c r="M135" s="33">
        <f>IF(J135="Took",L135,ROUND(G135*(1+Assumptions!$B$14)-(C135+E135)*Assumptions!$B$13,2))</f>
        <v/>
      </c>
      <c r="N135" s="12" t="inlineStr">
        <is>
          <t>Skip</t>
        </is>
      </c>
      <c r="O135" s="12" t="inlineStr">
        <is>
          <t>Skip</t>
        </is>
      </c>
      <c r="P135" s="12" t="inlineStr">
        <is>
          <t>Take</t>
        </is>
      </c>
      <c r="Q135" s="12" t="inlineStr">
        <is>
          <t>Take</t>
        </is>
      </c>
      <c r="R135" s="12" t="inlineStr">
        <is>
          <t>Take</t>
        </is>
      </c>
      <c r="S135" s="12" t="inlineStr">
        <is>
          <t>6e36af</t>
        </is>
      </c>
    </row>
    <row r="136">
      <c r="A136" s="24" t="n">
        <v>46312.75972222222</v>
      </c>
      <c r="B136" s="25" t="inlineStr">
        <is>
          <t>Uber</t>
        </is>
      </c>
      <c r="C136" s="26" t="n">
        <v>2.59</v>
      </c>
      <c r="D136" s="27" t="n">
        <v>8.199999999999999</v>
      </c>
      <c r="E136" s="26" t="n">
        <v>7.26</v>
      </c>
      <c r="F136" s="27" t="n">
        <v>24.4</v>
      </c>
      <c r="G136" s="28" t="n">
        <v>17.27</v>
      </c>
      <c r="H136" s="29">
        <f>IFERROR(G136/(C136+E136),0)</f>
        <v/>
      </c>
      <c r="I136" s="29">
        <f>IFERROR((G136-(C136+E136)*Assumptions!$B$13)/((D136+F136)/60),0)</f>
        <v/>
      </c>
      <c r="J136" s="25" t="inlineStr">
        <is>
          <t>Took</t>
        </is>
      </c>
      <c r="K136" s="28" t="n">
        <v>17.27</v>
      </c>
      <c r="L136" s="28" t="n">
        <v>14.5</v>
      </c>
      <c r="M136" s="29">
        <f>IF(J136="Took",L136,ROUND(G136*(1+Assumptions!$B$14)-(C136+E136)*Assumptions!$B$13,2))</f>
        <v/>
      </c>
      <c r="N136" s="25" t="inlineStr">
        <is>
          <t>Take</t>
        </is>
      </c>
      <c r="O136" s="25" t="inlineStr">
        <is>
          <t>Skip</t>
        </is>
      </c>
      <c r="P136" s="25" t="inlineStr">
        <is>
          <t>Take</t>
        </is>
      </c>
      <c r="Q136" s="25" t="inlineStr">
        <is>
          <t>Take</t>
        </is>
      </c>
      <c r="R136" s="25" t="inlineStr">
        <is>
          <t>Take</t>
        </is>
      </c>
      <c r="S136" s="25" t="inlineStr">
        <is>
          <t>4cec02</t>
        </is>
      </c>
    </row>
    <row r="137">
      <c r="A137" s="30" t="n">
        <v>46312.85972222222</v>
      </c>
      <c r="B137" s="12" t="inlineStr">
        <is>
          <t>Uber</t>
        </is>
      </c>
      <c r="C137" s="31" t="n">
        <v>0.57</v>
      </c>
      <c r="D137" s="22" t="n">
        <v>3.3</v>
      </c>
      <c r="E137" s="31" t="n">
        <v>6.15</v>
      </c>
      <c r="F137" s="22" t="n">
        <v>18.1</v>
      </c>
      <c r="G137" s="32" t="n">
        <v>13.06</v>
      </c>
      <c r="H137" s="33">
        <f>IFERROR(G137/(C137+E137),0)</f>
        <v/>
      </c>
      <c r="I137" s="33">
        <f>IFERROR((G137-(C137+E137)*Assumptions!$B$13)/((D137+F137)/60),0)</f>
        <v/>
      </c>
      <c r="J137" s="12" t="inlineStr">
        <is>
          <t>Took</t>
        </is>
      </c>
      <c r="K137" s="32" t="n">
        <v>5.3</v>
      </c>
      <c r="L137" s="32" t="n">
        <v>5.14</v>
      </c>
      <c r="M137" s="33">
        <f>IF(J137="Took",L137,ROUND(G137*(1+Assumptions!$B$14)-(C137+E137)*Assumptions!$B$13,2))</f>
        <v/>
      </c>
      <c r="N137" s="12" t="inlineStr">
        <is>
          <t>Take</t>
        </is>
      </c>
      <c r="O137" s="12" t="inlineStr">
        <is>
          <t>Take</t>
        </is>
      </c>
      <c r="P137" s="12" t="inlineStr">
        <is>
          <t>Take</t>
        </is>
      </c>
      <c r="Q137" s="12" t="inlineStr">
        <is>
          <t>Take</t>
        </is>
      </c>
      <c r="R137" s="12" t="inlineStr">
        <is>
          <t>Take</t>
        </is>
      </c>
      <c r="S137" s="12" t="inlineStr">
        <is>
          <t>7b6c3c</t>
        </is>
      </c>
    </row>
    <row r="138">
      <c r="A138" s="24" t="n">
        <v>46312.87708333333</v>
      </c>
      <c r="B138" s="25" t="inlineStr">
        <is>
          <t>Lyft</t>
        </is>
      </c>
      <c r="C138" s="26" t="n">
        <v>2.73</v>
      </c>
      <c r="D138" s="27" t="n">
        <v>9.1</v>
      </c>
      <c r="E138" s="26" t="n">
        <v>2.87</v>
      </c>
      <c r="F138" s="27" t="n">
        <v>9.5</v>
      </c>
      <c r="G138" s="28" t="n">
        <v>8.24</v>
      </c>
      <c r="H138" s="29">
        <f>IFERROR(G138/(C138+E138),0)</f>
        <v/>
      </c>
      <c r="I138" s="29">
        <f>IFERROR((G138-(C138+E138)*Assumptions!$B$13)/((D138+F138)/60),0)</f>
        <v/>
      </c>
      <c r="J138" s="25" t="inlineStr">
        <is>
          <t>Passed</t>
        </is>
      </c>
      <c r="K138" s="29" t="n"/>
      <c r="L138" s="29" t="n"/>
      <c r="M138" s="29">
        <f>IF(J138="Took",L138,ROUND(G138*(1+Assumptions!$B$14)-(C138+E138)*Assumptions!$B$13,2))</f>
        <v/>
      </c>
      <c r="N138" s="25" t="inlineStr">
        <is>
          <t>Busy</t>
        </is>
      </c>
      <c r="O138" s="25" t="inlineStr">
        <is>
          <t>Skip</t>
        </is>
      </c>
      <c r="P138" s="25" t="inlineStr">
        <is>
          <t>Busy</t>
        </is>
      </c>
      <c r="Q138" s="25" t="inlineStr">
        <is>
          <t>Busy</t>
        </is>
      </c>
      <c r="R138" s="25" t="inlineStr">
        <is>
          <t>Busy</t>
        </is>
      </c>
      <c r="S138" s="25" t="inlineStr">
        <is>
          <t>9ce8fb</t>
        </is>
      </c>
    </row>
    <row r="139">
      <c r="A139" s="30" t="n">
        <v>46312.88333333333</v>
      </c>
      <c r="B139" s="12" t="inlineStr">
        <is>
          <t>Uber</t>
        </is>
      </c>
      <c r="C139" s="31" t="n">
        <v>1.64</v>
      </c>
      <c r="D139" s="22" t="n">
        <v>6.2</v>
      </c>
      <c r="E139" s="31" t="n">
        <v>21.77</v>
      </c>
      <c r="F139" s="22" t="n">
        <v>56.3</v>
      </c>
      <c r="G139" s="32" t="n">
        <v>52.4</v>
      </c>
      <c r="H139" s="33">
        <f>IFERROR(G139/(C139+E139),0)</f>
        <v/>
      </c>
      <c r="I139" s="33">
        <f>IFERROR((G139-(C139+E139)*Assumptions!$B$13)/((D139+F139)/60),0)</f>
        <v/>
      </c>
      <c r="J139" s="12" t="inlineStr">
        <is>
          <t>Took</t>
        </is>
      </c>
      <c r="K139" s="32" t="n">
        <v>63.01</v>
      </c>
      <c r="L139" s="32" t="n">
        <v>56.4</v>
      </c>
      <c r="M139" s="33">
        <f>IF(J139="Took",L139,ROUND(G139*(1+Assumptions!$B$14)-(C139+E139)*Assumptions!$B$13,2))</f>
        <v/>
      </c>
      <c r="N139" s="12" t="inlineStr">
        <is>
          <t>Take</t>
        </is>
      </c>
      <c r="O139" s="12" t="inlineStr">
        <is>
          <t>Take</t>
        </is>
      </c>
      <c r="P139" s="12" t="inlineStr">
        <is>
          <t>Take</t>
        </is>
      </c>
      <c r="Q139" s="12" t="inlineStr">
        <is>
          <t>Take</t>
        </is>
      </c>
      <c r="R139" s="12" t="inlineStr">
        <is>
          <t>Take</t>
        </is>
      </c>
      <c r="S139" s="12" t="inlineStr">
        <is>
          <t>b2e75d</t>
        </is>
      </c>
    </row>
    <row r="140">
      <c r="A140" s="24" t="n">
        <v>46313.5625</v>
      </c>
      <c r="B140" s="25" t="inlineStr">
        <is>
          <t>Uber</t>
        </is>
      </c>
      <c r="C140" s="26" t="n">
        <v>1.96</v>
      </c>
      <c r="D140" s="27" t="n">
        <v>7.8</v>
      </c>
      <c r="E140" s="26" t="n">
        <v>20.91</v>
      </c>
      <c r="F140" s="27" t="n">
        <v>49.1</v>
      </c>
      <c r="G140" s="28" t="n">
        <v>45.96</v>
      </c>
      <c r="H140" s="29">
        <f>IFERROR(G140/(C140+E140),0)</f>
        <v/>
      </c>
      <c r="I140" s="29">
        <f>IFERROR((G140-(C140+E140)*Assumptions!$B$13)/((D140+F140)/60),0)</f>
        <v/>
      </c>
      <c r="J140" s="25" t="inlineStr">
        <is>
          <t>Took</t>
        </is>
      </c>
      <c r="K140" s="28" t="n">
        <v>45.96</v>
      </c>
      <c r="L140" s="28" t="n">
        <v>39.51</v>
      </c>
      <c r="M140" s="29">
        <f>IF(J140="Took",L140,ROUND(G140*(1+Assumptions!$B$14)-(C140+E140)*Assumptions!$B$13,2))</f>
        <v/>
      </c>
      <c r="N140" s="25" t="inlineStr">
        <is>
          <t>Take</t>
        </is>
      </c>
      <c r="O140" s="25" t="inlineStr">
        <is>
          <t>Take</t>
        </is>
      </c>
      <c r="P140" s="25" t="inlineStr">
        <is>
          <t>Take</t>
        </is>
      </c>
      <c r="Q140" s="25" t="inlineStr">
        <is>
          <t>Take</t>
        </is>
      </c>
      <c r="R140" s="25" t="inlineStr">
        <is>
          <t>Take</t>
        </is>
      </c>
      <c r="S140" s="25" t="inlineStr">
        <is>
          <t>84d58c</t>
        </is>
      </c>
    </row>
    <row r="141">
      <c r="A141" s="30" t="n">
        <v>46313.85138888889</v>
      </c>
      <c r="B141" s="12" t="inlineStr">
        <is>
          <t>Uber</t>
        </is>
      </c>
      <c r="C141" s="31" t="n">
        <v>0.83</v>
      </c>
      <c r="D141" s="22" t="n">
        <v>4.2</v>
      </c>
      <c r="E141" s="31" t="n">
        <v>4.15</v>
      </c>
      <c r="F141" s="22" t="n">
        <v>15.6</v>
      </c>
      <c r="G141" s="32" t="n">
        <v>9.52</v>
      </c>
      <c r="H141" s="33">
        <f>IFERROR(G141/(C141+E141),0)</f>
        <v/>
      </c>
      <c r="I141" s="33">
        <f>IFERROR((G141-(C141+E141)*Assumptions!$B$13)/((D141+F141)/60),0)</f>
        <v/>
      </c>
      <c r="J141" s="12" t="inlineStr">
        <is>
          <t>Passed</t>
        </is>
      </c>
      <c r="K141" s="33" t="n"/>
      <c r="L141" s="33" t="n"/>
      <c r="M141" s="33">
        <f>IF(J141="Took",L141,ROUND(G141*(1+Assumptions!$B$14)-(C141+E141)*Assumptions!$B$13,2))</f>
        <v/>
      </c>
      <c r="N141" s="12" t="inlineStr">
        <is>
          <t>Busy</t>
        </is>
      </c>
      <c r="O141" s="12" t="inlineStr">
        <is>
          <t>Busy</t>
        </is>
      </c>
      <c r="P141" s="12" t="inlineStr">
        <is>
          <t>Busy</t>
        </is>
      </c>
      <c r="Q141" s="12" t="inlineStr">
        <is>
          <t>Busy</t>
        </is>
      </c>
      <c r="R141" s="12" t="inlineStr">
        <is>
          <t>Busy</t>
        </is>
      </c>
      <c r="S141" s="12" t="inlineStr">
        <is>
          <t>1870d3</t>
        </is>
      </c>
    </row>
    <row r="142">
      <c r="A142" s="24" t="n">
        <v>46313.85694444444</v>
      </c>
      <c r="B142" s="25" t="inlineStr">
        <is>
          <t>Uber</t>
        </is>
      </c>
      <c r="C142" s="26" t="n">
        <v>0.57</v>
      </c>
      <c r="D142" s="27" t="n">
        <v>2.6</v>
      </c>
      <c r="E142" s="26" t="n">
        <v>28.09</v>
      </c>
      <c r="F142" s="27" t="n">
        <v>68.40000000000001</v>
      </c>
      <c r="G142" s="28" t="n">
        <v>57.45</v>
      </c>
      <c r="H142" s="29">
        <f>IFERROR(G142/(C142+E142),0)</f>
        <v/>
      </c>
      <c r="I142" s="29">
        <f>IFERROR((G142-(C142+E142)*Assumptions!$B$13)/((D142+F142)/60),0)</f>
        <v/>
      </c>
      <c r="J142" s="25" t="inlineStr">
        <is>
          <t>Took</t>
        </is>
      </c>
      <c r="K142" s="28" t="n">
        <v>57.45</v>
      </c>
      <c r="L142" s="28" t="n">
        <v>49.45</v>
      </c>
      <c r="M142" s="29">
        <f>IF(J142="Took",L142,ROUND(G142*(1+Assumptions!$B$14)-(C142+E142)*Assumptions!$B$13,2))</f>
        <v/>
      </c>
      <c r="N142" s="25" t="inlineStr">
        <is>
          <t>Take</t>
        </is>
      </c>
      <c r="O142" s="25" t="inlineStr">
        <is>
          <t>Take</t>
        </is>
      </c>
      <c r="P142" s="25" t="inlineStr">
        <is>
          <t>Take</t>
        </is>
      </c>
      <c r="Q142" s="25" t="inlineStr">
        <is>
          <t>Take</t>
        </is>
      </c>
      <c r="R142" s="25" t="inlineStr">
        <is>
          <t>Take</t>
        </is>
      </c>
      <c r="S142" s="25" t="inlineStr">
        <is>
          <t>1a0a49</t>
        </is>
      </c>
    </row>
    <row r="143">
      <c r="A143" s="30" t="n">
        <v>46313.87222222222</v>
      </c>
      <c r="B143" s="12" t="inlineStr">
        <is>
          <t>Lyft</t>
        </is>
      </c>
      <c r="C143" s="31" t="n">
        <v>3.95</v>
      </c>
      <c r="D143" s="22" t="n">
        <v>12.3</v>
      </c>
      <c r="E143" s="31" t="n">
        <v>4.62</v>
      </c>
      <c r="F143" s="22" t="n">
        <v>17.9</v>
      </c>
      <c r="G143" s="32" t="n">
        <v>12.57</v>
      </c>
      <c r="H143" s="33">
        <f>IFERROR(G143/(C143+E143),0)</f>
        <v/>
      </c>
      <c r="I143" s="33">
        <f>IFERROR((G143-(C143+E143)*Assumptions!$B$13)/((D143+F143)/60),0)</f>
        <v/>
      </c>
      <c r="J143" s="12" t="inlineStr">
        <is>
          <t>Passed</t>
        </is>
      </c>
      <c r="K143" s="33" t="n"/>
      <c r="L143" s="33" t="n"/>
      <c r="M143" s="33">
        <f>IF(J143="Took",L143,ROUND(G143*(1+Assumptions!$B$14)-(C143+E143)*Assumptions!$B$13,2))</f>
        <v/>
      </c>
      <c r="N143" s="12" t="inlineStr">
        <is>
          <t>Skip</t>
        </is>
      </c>
      <c r="O143" s="12" t="inlineStr">
        <is>
          <t>Skip</t>
        </is>
      </c>
      <c r="P143" s="12" t="inlineStr">
        <is>
          <t>Busy</t>
        </is>
      </c>
      <c r="Q143" s="12" t="inlineStr">
        <is>
          <t>Busy</t>
        </is>
      </c>
      <c r="R143" s="12" t="inlineStr">
        <is>
          <t>Busy</t>
        </is>
      </c>
      <c r="S143" s="12" t="inlineStr">
        <is>
          <t>684de9</t>
        </is>
      </c>
    </row>
    <row r="144">
      <c r="A144" s="24" t="n">
        <v>46313.87638888889</v>
      </c>
      <c r="B144" s="25" t="inlineStr">
        <is>
          <t>Uber</t>
        </is>
      </c>
      <c r="C144" s="26" t="n">
        <v>1.51</v>
      </c>
      <c r="D144" s="27" t="n">
        <v>6.6</v>
      </c>
      <c r="E144" s="26" t="n">
        <v>25.76</v>
      </c>
      <c r="F144" s="27" t="n">
        <v>63</v>
      </c>
      <c r="G144" s="28" t="n">
        <v>33.7</v>
      </c>
      <c r="H144" s="29">
        <f>IFERROR(G144/(C144+E144),0)</f>
        <v/>
      </c>
      <c r="I144" s="29">
        <f>IFERROR((G144-(C144+E144)*Assumptions!$B$13)/((D144+F144)/60),0)</f>
        <v/>
      </c>
      <c r="J144" s="25" t="inlineStr">
        <is>
          <t>Took</t>
        </is>
      </c>
      <c r="K144" s="28" t="n">
        <v>38.57</v>
      </c>
      <c r="L144" s="28" t="n">
        <v>31.01</v>
      </c>
      <c r="M144" s="29">
        <f>IF(J144="Took",L144,ROUND(G144*(1+Assumptions!$B$14)-(C144+E144)*Assumptions!$B$13,2))</f>
        <v/>
      </c>
      <c r="N144" s="25" t="inlineStr">
        <is>
          <t>Take</t>
        </is>
      </c>
      <c r="O144" s="25" t="inlineStr">
        <is>
          <t>Take</t>
        </is>
      </c>
      <c r="P144" s="25" t="inlineStr">
        <is>
          <t>Take</t>
        </is>
      </c>
      <c r="Q144" s="25" t="inlineStr">
        <is>
          <t>Take</t>
        </is>
      </c>
      <c r="R144" s="25" t="inlineStr">
        <is>
          <t>Take</t>
        </is>
      </c>
      <c r="S144" s="25" t="inlineStr">
        <is>
          <t>f85c18</t>
        </is>
      </c>
    </row>
    <row r="145">
      <c r="A145" s="30" t="n">
        <v>46314.46041666667</v>
      </c>
      <c r="B145" s="12" t="inlineStr">
        <is>
          <t>Lyft</t>
        </is>
      </c>
      <c r="C145" s="31" t="n">
        <v>3.3</v>
      </c>
      <c r="D145" s="22" t="n">
        <v>10.6</v>
      </c>
      <c r="E145" s="31" t="n">
        <v>13.3</v>
      </c>
      <c r="F145" s="22" t="n">
        <v>33.2</v>
      </c>
      <c r="G145" s="32" t="n">
        <v>25.24</v>
      </c>
      <c r="H145" s="33">
        <f>IFERROR(G145/(C145+E145),0)</f>
        <v/>
      </c>
      <c r="I145" s="33">
        <f>IFERROR((G145-(C145+E145)*Assumptions!$B$13)/((D145+F145)/60),0)</f>
        <v/>
      </c>
      <c r="J145" s="12" t="inlineStr">
        <is>
          <t>Passed</t>
        </is>
      </c>
      <c r="K145" s="33" t="n"/>
      <c r="L145" s="33" t="n"/>
      <c r="M145" s="33">
        <f>IF(J145="Took",L145,ROUND(G145*(1+Assumptions!$B$14)-(C145+E145)*Assumptions!$B$13,2))</f>
        <v/>
      </c>
      <c r="N145" s="12" t="inlineStr">
        <is>
          <t>Skip</t>
        </is>
      </c>
      <c r="O145" s="12" t="inlineStr">
        <is>
          <t>Skip</t>
        </is>
      </c>
      <c r="P145" s="12" t="inlineStr">
        <is>
          <t>Busy</t>
        </is>
      </c>
      <c r="Q145" s="12" t="inlineStr">
        <is>
          <t>Busy</t>
        </is>
      </c>
      <c r="R145" s="12" t="inlineStr">
        <is>
          <t>Busy</t>
        </is>
      </c>
      <c r="S145" s="12" t="inlineStr">
        <is>
          <t>0b28e7</t>
        </is>
      </c>
    </row>
    <row r="146">
      <c r="A146" s="24" t="n">
        <v>46314.47083333333</v>
      </c>
      <c r="B146" s="25" t="inlineStr">
        <is>
          <t>Uber</t>
        </is>
      </c>
      <c r="C146" s="26" t="n">
        <v>1.19</v>
      </c>
      <c r="D146" s="27" t="n">
        <v>5.7</v>
      </c>
      <c r="E146" s="26" t="n">
        <v>26.57</v>
      </c>
      <c r="F146" s="27" t="n">
        <v>65.59999999999999</v>
      </c>
      <c r="G146" s="28" t="n">
        <v>40.91</v>
      </c>
      <c r="H146" s="29">
        <f>IFERROR(G146/(C146+E146),0)</f>
        <v/>
      </c>
      <c r="I146" s="29">
        <f>IFERROR((G146-(C146+E146)*Assumptions!$B$13)/((D146+F146)/60),0)</f>
        <v/>
      </c>
      <c r="J146" s="25" t="inlineStr">
        <is>
          <t>Took</t>
        </is>
      </c>
      <c r="K146" s="28" t="n">
        <v>40.91</v>
      </c>
      <c r="L146" s="28" t="n">
        <v>33.15</v>
      </c>
      <c r="M146" s="29">
        <f>IF(J146="Took",L146,ROUND(G146*(1+Assumptions!$B$14)-(C146+E146)*Assumptions!$B$13,2))</f>
        <v/>
      </c>
      <c r="N146" s="25" t="inlineStr">
        <is>
          <t>Take</t>
        </is>
      </c>
      <c r="O146" s="25" t="inlineStr">
        <is>
          <t>Take</t>
        </is>
      </c>
      <c r="P146" s="25" t="inlineStr">
        <is>
          <t>Take</t>
        </is>
      </c>
      <c r="Q146" s="25" t="inlineStr">
        <is>
          <t>Take</t>
        </is>
      </c>
      <c r="R146" s="25" t="inlineStr">
        <is>
          <t>Take</t>
        </is>
      </c>
      <c r="S146" s="25" t="inlineStr">
        <is>
          <t>8bc25f</t>
        </is>
      </c>
    </row>
    <row r="147">
      <c r="A147" s="30" t="n">
        <v>46314.53958333333</v>
      </c>
      <c r="B147" s="12" t="inlineStr">
        <is>
          <t>Lyft</t>
        </is>
      </c>
      <c r="C147" s="31" t="n">
        <v>1.57</v>
      </c>
      <c r="D147" s="22" t="n">
        <v>6.1</v>
      </c>
      <c r="E147" s="31" t="n">
        <v>14.15</v>
      </c>
      <c r="F147" s="22" t="n">
        <v>35.7</v>
      </c>
      <c r="G147" s="32" t="n">
        <v>26.38</v>
      </c>
      <c r="H147" s="33">
        <f>IFERROR(G147/(C147+E147),0)</f>
        <v/>
      </c>
      <c r="I147" s="33">
        <f>IFERROR((G147-(C147+E147)*Assumptions!$B$13)/((D147+F147)/60),0)</f>
        <v/>
      </c>
      <c r="J147" s="12" t="inlineStr">
        <is>
          <t>Passed</t>
        </is>
      </c>
      <c r="K147" s="33" t="n"/>
      <c r="L147" s="33" t="n"/>
      <c r="M147" s="33">
        <f>IF(J147="Took",L147,ROUND(G147*(1+Assumptions!$B$14)-(C147+E147)*Assumptions!$B$13,2))</f>
        <v/>
      </c>
      <c r="N147" s="12" t="inlineStr">
        <is>
          <t>Busy</t>
        </is>
      </c>
      <c r="O147" s="12" t="inlineStr">
        <is>
          <t>Busy</t>
        </is>
      </c>
      <c r="P147" s="12" t="inlineStr">
        <is>
          <t>Busy</t>
        </is>
      </c>
      <c r="Q147" s="12" t="inlineStr">
        <is>
          <t>Busy</t>
        </is>
      </c>
      <c r="R147" s="12" t="inlineStr">
        <is>
          <t>Busy</t>
        </is>
      </c>
      <c r="S147" s="12" t="inlineStr">
        <is>
          <t>b448be</t>
        </is>
      </c>
    </row>
    <row r="148">
      <c r="A148" s="24" t="n">
        <v>46314.54791666667</v>
      </c>
      <c r="B148" s="25" t="inlineStr">
        <is>
          <t>Uber</t>
        </is>
      </c>
      <c r="C148" s="26" t="n">
        <v>1.24</v>
      </c>
      <c r="D148" s="27" t="n">
        <v>5.2</v>
      </c>
      <c r="E148" s="26" t="n">
        <v>4.03</v>
      </c>
      <c r="F148" s="27" t="n">
        <v>12.5</v>
      </c>
      <c r="G148" s="28" t="n">
        <v>14.08</v>
      </c>
      <c r="H148" s="29">
        <f>IFERROR(G148/(C148+E148),0)</f>
        <v/>
      </c>
      <c r="I148" s="29">
        <f>IFERROR((G148-(C148+E148)*Assumptions!$B$13)/((D148+F148)/60),0)</f>
        <v/>
      </c>
      <c r="J148" s="25" t="inlineStr">
        <is>
          <t>Took</t>
        </is>
      </c>
      <c r="K148" s="28" t="n">
        <v>22.54</v>
      </c>
      <c r="L148" s="28" t="n">
        <v>21.07</v>
      </c>
      <c r="M148" s="29">
        <f>IF(J148="Took",L148,ROUND(G148*(1+Assumptions!$B$14)-(C148+E148)*Assumptions!$B$13,2))</f>
        <v/>
      </c>
      <c r="N148" s="25" t="inlineStr">
        <is>
          <t>Take</t>
        </is>
      </c>
      <c r="O148" s="25" t="inlineStr">
        <is>
          <t>Take</t>
        </is>
      </c>
      <c r="P148" s="25" t="inlineStr">
        <is>
          <t>Take</t>
        </is>
      </c>
      <c r="Q148" s="25" t="inlineStr">
        <is>
          <t>Take</t>
        </is>
      </c>
      <c r="R148" s="25" t="inlineStr">
        <is>
          <t>Take</t>
        </is>
      </c>
      <c r="S148" s="25" t="inlineStr">
        <is>
          <t>f1d9fe</t>
        </is>
      </c>
    </row>
    <row r="149">
      <c r="A149" s="30" t="n">
        <v>46314.57361111111</v>
      </c>
      <c r="B149" s="12" t="inlineStr">
        <is>
          <t>Uber</t>
        </is>
      </c>
      <c r="C149" s="31" t="n">
        <v>4.29</v>
      </c>
      <c r="D149" s="22" t="n">
        <v>13.2</v>
      </c>
      <c r="E149" s="31" t="n">
        <v>6.88</v>
      </c>
      <c r="F149" s="22" t="n">
        <v>20.9</v>
      </c>
      <c r="G149" s="32" t="n">
        <v>15.36</v>
      </c>
      <c r="H149" s="33">
        <f>IFERROR(G149/(C149+E149),0)</f>
        <v/>
      </c>
      <c r="I149" s="33">
        <f>IFERROR((G149-(C149+E149)*Assumptions!$B$13)/((D149+F149)/60),0)</f>
        <v/>
      </c>
      <c r="J149" s="12" t="inlineStr">
        <is>
          <t>Passed</t>
        </is>
      </c>
      <c r="K149" s="33" t="n"/>
      <c r="L149" s="33" t="n"/>
      <c r="M149" s="33">
        <f>IF(J149="Took",L149,ROUND(G149*(1+Assumptions!$B$14)-(C149+E149)*Assumptions!$B$13,2))</f>
        <v/>
      </c>
      <c r="N149" s="12" t="inlineStr">
        <is>
          <t>Skip</t>
        </is>
      </c>
      <c r="O149" s="12" t="inlineStr">
        <is>
          <t>Skip</t>
        </is>
      </c>
      <c r="P149" s="12" t="inlineStr">
        <is>
          <t>Busy</t>
        </is>
      </c>
      <c r="Q149" s="12" t="inlineStr">
        <is>
          <t>Busy</t>
        </is>
      </c>
      <c r="R149" s="12" t="inlineStr">
        <is>
          <t>Busy</t>
        </is>
      </c>
      <c r="S149" s="12" t="inlineStr">
        <is>
          <t>bc8a21</t>
        </is>
      </c>
    </row>
    <row r="150">
      <c r="A150" s="24" t="n">
        <v>46314.57708333333</v>
      </c>
      <c r="B150" s="25" t="inlineStr">
        <is>
          <t>Uber</t>
        </is>
      </c>
      <c r="C150" s="26" t="n">
        <v>1.22</v>
      </c>
      <c r="D150" s="27" t="n">
        <v>6</v>
      </c>
      <c r="E150" s="26" t="n">
        <v>3.38</v>
      </c>
      <c r="F150" s="27" t="n">
        <v>10.4</v>
      </c>
      <c r="G150" s="28" t="n">
        <v>13.77</v>
      </c>
      <c r="H150" s="29">
        <f>IFERROR(G150/(C150+E150),0)</f>
        <v/>
      </c>
      <c r="I150" s="29">
        <f>IFERROR((G150-(C150+E150)*Assumptions!$B$13)/((D150+F150)/60),0)</f>
        <v/>
      </c>
      <c r="J150" s="25" t="inlineStr">
        <is>
          <t>Took</t>
        </is>
      </c>
      <c r="K150" s="28" t="n">
        <v>13.77</v>
      </c>
      <c r="L150" s="28" t="n">
        <v>12.47</v>
      </c>
      <c r="M150" s="29">
        <f>IF(J150="Took",L150,ROUND(G150*(1+Assumptions!$B$14)-(C150+E150)*Assumptions!$B$13,2))</f>
        <v/>
      </c>
      <c r="N150" s="25" t="inlineStr">
        <is>
          <t>Take</t>
        </is>
      </c>
      <c r="O150" s="25" t="inlineStr">
        <is>
          <t>Take</t>
        </is>
      </c>
      <c r="P150" s="25" t="inlineStr">
        <is>
          <t>Take</t>
        </is>
      </c>
      <c r="Q150" s="25" t="inlineStr">
        <is>
          <t>Take</t>
        </is>
      </c>
      <c r="R150" s="25" t="inlineStr">
        <is>
          <t>Take</t>
        </is>
      </c>
      <c r="S150" s="25" t="inlineStr">
        <is>
          <t>37225e</t>
        </is>
      </c>
    </row>
    <row r="151">
      <c r="A151" s="30" t="n">
        <v>46314.68819444445</v>
      </c>
      <c r="B151" s="12" t="inlineStr">
        <is>
          <t>Uber</t>
        </is>
      </c>
      <c r="C151" s="31" t="n">
        <v>3.71</v>
      </c>
      <c r="D151" s="22" t="n">
        <v>12.1</v>
      </c>
      <c r="E151" s="31" t="n">
        <v>20.86</v>
      </c>
      <c r="F151" s="22" t="n">
        <v>51.5</v>
      </c>
      <c r="G151" s="32" t="n">
        <v>47.37</v>
      </c>
      <c r="H151" s="33">
        <f>IFERROR(G151/(C151+E151),0)</f>
        <v/>
      </c>
      <c r="I151" s="33">
        <f>IFERROR((G151-(C151+E151)*Assumptions!$B$13)/((D151+F151)/60),0)</f>
        <v/>
      </c>
      <c r="J151" s="12" t="inlineStr">
        <is>
          <t>Took</t>
        </is>
      </c>
      <c r="K151" s="32" t="n">
        <v>47.37</v>
      </c>
      <c r="L151" s="32" t="n">
        <v>40.47</v>
      </c>
      <c r="M151" s="33">
        <f>IF(J151="Took",L151,ROUND(G151*(1+Assumptions!$B$14)-(C151+E151)*Assumptions!$B$13,2))</f>
        <v/>
      </c>
      <c r="N151" s="12" t="inlineStr">
        <is>
          <t>Skip</t>
        </is>
      </c>
      <c r="O151" s="12" t="inlineStr">
        <is>
          <t>Skip</t>
        </is>
      </c>
      <c r="P151" s="12" t="inlineStr">
        <is>
          <t>Take</t>
        </is>
      </c>
      <c r="Q151" s="12" t="inlineStr">
        <is>
          <t>Take</t>
        </is>
      </c>
      <c r="R151" s="12" t="inlineStr">
        <is>
          <t>Take</t>
        </is>
      </c>
      <c r="S151" s="12" t="inlineStr">
        <is>
          <t>f26bd9</t>
        </is>
      </c>
    </row>
    <row r="152">
      <c r="A152" s="24" t="n">
        <v>46315.56805555556</v>
      </c>
      <c r="B152" s="25" t="inlineStr">
        <is>
          <t>Uber</t>
        </is>
      </c>
      <c r="C152" s="26" t="n">
        <v>2.03</v>
      </c>
      <c r="D152" s="27" t="n">
        <v>7.3</v>
      </c>
      <c r="E152" s="26" t="n">
        <v>4.43</v>
      </c>
      <c r="F152" s="27" t="n">
        <v>15</v>
      </c>
      <c r="G152" s="28" t="n">
        <v>12.1</v>
      </c>
      <c r="H152" s="29">
        <f>IFERROR(G152/(C152+E152),0)</f>
        <v/>
      </c>
      <c r="I152" s="29">
        <f>IFERROR((G152-(C152+E152)*Assumptions!$B$13)/((D152+F152)/60),0)</f>
        <v/>
      </c>
      <c r="J152" s="25" t="inlineStr">
        <is>
          <t>Passed</t>
        </is>
      </c>
      <c r="K152" s="29" t="n"/>
      <c r="L152" s="29" t="n"/>
      <c r="M152" s="29">
        <f>IF(J152="Took",L152,ROUND(G152*(1+Assumptions!$B$14)-(C152+E152)*Assumptions!$B$13,2))</f>
        <v/>
      </c>
      <c r="N152" s="25" t="inlineStr">
        <is>
          <t>Take</t>
        </is>
      </c>
      <c r="O152" s="25" t="inlineStr">
        <is>
          <t>Skip</t>
        </is>
      </c>
      <c r="P152" s="25" t="inlineStr">
        <is>
          <t>Take</t>
        </is>
      </c>
      <c r="Q152" s="25" t="inlineStr">
        <is>
          <t>Take</t>
        </is>
      </c>
      <c r="R152" s="25" t="inlineStr">
        <is>
          <t>Busy</t>
        </is>
      </c>
      <c r="S152" s="25" t="inlineStr">
        <is>
          <t>834bbc</t>
        </is>
      </c>
    </row>
    <row r="153">
      <c r="A153" s="30" t="n">
        <v>46315.57916666667</v>
      </c>
      <c r="B153" s="12" t="inlineStr">
        <is>
          <t>Uber</t>
        </is>
      </c>
      <c r="C153" s="31" t="n">
        <v>4.03</v>
      </c>
      <c r="D153" s="22" t="n">
        <v>13.3</v>
      </c>
      <c r="E153" s="31" t="n">
        <v>8.44</v>
      </c>
      <c r="F153" s="22" t="n">
        <v>23</v>
      </c>
      <c r="G153" s="32" t="n">
        <v>11.83</v>
      </c>
      <c r="H153" s="33">
        <f>IFERROR(G153/(C153+E153),0)</f>
        <v/>
      </c>
      <c r="I153" s="33">
        <f>IFERROR((G153-(C153+E153)*Assumptions!$B$13)/((D153+F153)/60),0)</f>
        <v/>
      </c>
      <c r="J153" s="12" t="inlineStr">
        <is>
          <t>Took</t>
        </is>
      </c>
      <c r="K153" s="32" t="n">
        <v>17.18</v>
      </c>
      <c r="L153" s="32" t="n">
        <v>13.69</v>
      </c>
      <c r="M153" s="33">
        <f>IF(J153="Took",L153,ROUND(G153*(1+Assumptions!$B$14)-(C153+E153)*Assumptions!$B$13,2))</f>
        <v/>
      </c>
      <c r="N153" s="12" t="inlineStr">
        <is>
          <t>Skip</t>
        </is>
      </c>
      <c r="O153" s="12" t="inlineStr">
        <is>
          <t>Skip</t>
        </is>
      </c>
      <c r="P153" s="12" t="inlineStr">
        <is>
          <t>Skip</t>
        </is>
      </c>
      <c r="Q153" s="12" t="inlineStr">
        <is>
          <t>Skip</t>
        </is>
      </c>
      <c r="R153" s="12" t="inlineStr">
        <is>
          <t>Take</t>
        </is>
      </c>
      <c r="S153" s="12" t="inlineStr">
        <is>
          <t>dac2d3</t>
        </is>
      </c>
    </row>
    <row r="154">
      <c r="A154" s="24" t="n">
        <v>46315.5875</v>
      </c>
      <c r="B154" s="25" t="inlineStr">
        <is>
          <t>Uber</t>
        </is>
      </c>
      <c r="C154" s="26" t="n">
        <v>4.15</v>
      </c>
      <c r="D154" s="27" t="n">
        <v>12.8</v>
      </c>
      <c r="E154" s="26" t="n">
        <v>21.74</v>
      </c>
      <c r="F154" s="27" t="n">
        <v>55.6</v>
      </c>
      <c r="G154" s="28" t="n">
        <v>40.52</v>
      </c>
      <c r="H154" s="29">
        <f>IFERROR(G154/(C154+E154),0)</f>
        <v/>
      </c>
      <c r="I154" s="29">
        <f>IFERROR((G154-(C154+E154)*Assumptions!$B$13)/((D154+F154)/60),0)</f>
        <v/>
      </c>
      <c r="J154" s="25" t="inlineStr">
        <is>
          <t>Passed</t>
        </is>
      </c>
      <c r="K154" s="29" t="n"/>
      <c r="L154" s="29" t="n"/>
      <c r="M154" s="29">
        <f>IF(J154="Took",L154,ROUND(G154*(1+Assumptions!$B$14)-(C154+E154)*Assumptions!$B$13,2))</f>
        <v/>
      </c>
      <c r="N154" s="25" t="inlineStr">
        <is>
          <t>Skip</t>
        </is>
      </c>
      <c r="O154" s="25" t="inlineStr">
        <is>
          <t>Skip</t>
        </is>
      </c>
      <c r="P154" s="25" t="inlineStr">
        <is>
          <t>Take</t>
        </is>
      </c>
      <c r="Q154" s="25" t="inlineStr">
        <is>
          <t>Take</t>
        </is>
      </c>
      <c r="R154" s="25" t="inlineStr">
        <is>
          <t>Busy</t>
        </is>
      </c>
      <c r="S154" s="25" t="inlineStr">
        <is>
          <t>f7c198</t>
        </is>
      </c>
    </row>
    <row r="155">
      <c r="A155" s="30" t="n">
        <v>46315.59583333333</v>
      </c>
      <c r="B155" s="12" t="inlineStr">
        <is>
          <t>Uber</t>
        </is>
      </c>
      <c r="C155" s="31" t="n">
        <v>3.5</v>
      </c>
      <c r="D155" s="22" t="n">
        <v>11.1</v>
      </c>
      <c r="E155" s="31" t="n">
        <v>15.59</v>
      </c>
      <c r="F155" s="22" t="n">
        <v>37.4</v>
      </c>
      <c r="G155" s="32" t="n">
        <v>30.02</v>
      </c>
      <c r="H155" s="33">
        <f>IFERROR(G155/(C155+E155),0)</f>
        <v/>
      </c>
      <c r="I155" s="33">
        <f>IFERROR((G155-(C155+E155)*Assumptions!$B$13)/((D155+F155)/60),0)</f>
        <v/>
      </c>
      <c r="J155" s="12" t="inlineStr">
        <is>
          <t>Passed</t>
        </is>
      </c>
      <c r="K155" s="33" t="n"/>
      <c r="L155" s="33" t="n"/>
      <c r="M155" s="33">
        <f>IF(J155="Took",L155,ROUND(G155*(1+Assumptions!$B$14)-(C155+E155)*Assumptions!$B$13,2))</f>
        <v/>
      </c>
      <c r="N155" s="12" t="inlineStr">
        <is>
          <t>Skip</t>
        </is>
      </c>
      <c r="O155" s="12" t="inlineStr">
        <is>
          <t>Skip</t>
        </is>
      </c>
      <c r="P155" s="12" t="inlineStr">
        <is>
          <t>Busy</t>
        </is>
      </c>
      <c r="Q155" s="12" t="inlineStr">
        <is>
          <t>Busy</t>
        </is>
      </c>
      <c r="R155" s="12" t="inlineStr">
        <is>
          <t>Busy</t>
        </is>
      </c>
      <c r="S155" s="12" t="inlineStr">
        <is>
          <t>dba053</t>
        </is>
      </c>
    </row>
    <row r="156">
      <c r="A156" s="24" t="n">
        <v>46315.59791666667</v>
      </c>
      <c r="B156" s="25" t="inlineStr">
        <is>
          <t>Uber</t>
        </is>
      </c>
      <c r="C156" s="26" t="n">
        <v>2.24</v>
      </c>
      <c r="D156" s="27" t="n">
        <v>8.5</v>
      </c>
      <c r="E156" s="26" t="n">
        <v>11.9</v>
      </c>
      <c r="F156" s="27" t="n">
        <v>31.3</v>
      </c>
      <c r="G156" s="28" t="n">
        <v>13.34</v>
      </c>
      <c r="H156" s="29">
        <f>IFERROR(G156/(C156+E156),0)</f>
        <v/>
      </c>
      <c r="I156" s="29">
        <f>IFERROR((G156-(C156+E156)*Assumptions!$B$13)/((D156+F156)/60),0)</f>
        <v/>
      </c>
      <c r="J156" s="25" t="inlineStr">
        <is>
          <t>Took</t>
        </is>
      </c>
      <c r="K156" s="28" t="n">
        <v>13.34</v>
      </c>
      <c r="L156" s="28" t="n">
        <v>9.359999999999999</v>
      </c>
      <c r="M156" s="29">
        <f>IF(J156="Took",L156,ROUND(G156*(1+Assumptions!$B$14)-(C156+E156)*Assumptions!$B$13,2))</f>
        <v/>
      </c>
      <c r="N156" s="25" t="inlineStr">
        <is>
          <t>Take</t>
        </is>
      </c>
      <c r="O156" s="25" t="inlineStr">
        <is>
          <t>Skip</t>
        </is>
      </c>
      <c r="P156" s="25" t="inlineStr">
        <is>
          <t>Skip</t>
        </is>
      </c>
      <c r="Q156" s="25" t="inlineStr">
        <is>
          <t>Skip</t>
        </is>
      </c>
      <c r="R156" s="25" t="inlineStr">
        <is>
          <t>Take</t>
        </is>
      </c>
      <c r="S156" s="25" t="inlineStr">
        <is>
          <t>161e8d</t>
        </is>
      </c>
    </row>
    <row r="157">
      <c r="A157" s="30" t="n">
        <v>46315.60208333333</v>
      </c>
      <c r="B157" s="12" t="inlineStr">
        <is>
          <t>Uber</t>
        </is>
      </c>
      <c r="C157" s="31" t="n">
        <v>2.02</v>
      </c>
      <c r="D157" s="22" t="n">
        <v>7.3</v>
      </c>
      <c r="E157" s="31" t="n">
        <v>3.22</v>
      </c>
      <c r="F157" s="22" t="n">
        <v>13.9</v>
      </c>
      <c r="G157" s="32" t="n">
        <v>25.06</v>
      </c>
      <c r="H157" s="33">
        <f>IFERROR(G157/(C157+E157),0)</f>
        <v/>
      </c>
      <c r="I157" s="33">
        <f>IFERROR((G157-(C157+E157)*Assumptions!$B$13)/((D157+F157)/60),0)</f>
        <v/>
      </c>
      <c r="J157" s="12" t="inlineStr">
        <is>
          <t>Took</t>
        </is>
      </c>
      <c r="K157" s="32" t="n">
        <v>25.06</v>
      </c>
      <c r="L157" s="32" t="n">
        <v>23.59</v>
      </c>
      <c r="M157" s="33">
        <f>IF(J157="Took",L157,ROUND(G157*(1+Assumptions!$B$14)-(C157+E157)*Assumptions!$B$13,2))</f>
        <v/>
      </c>
      <c r="N157" s="12" t="inlineStr">
        <is>
          <t>Take</t>
        </is>
      </c>
      <c r="O157" s="12" t="inlineStr">
        <is>
          <t>Skip</t>
        </is>
      </c>
      <c r="P157" s="12" t="inlineStr">
        <is>
          <t>Take</t>
        </is>
      </c>
      <c r="Q157" s="12" t="inlineStr">
        <is>
          <t>Take</t>
        </is>
      </c>
      <c r="R157" s="12" t="inlineStr">
        <is>
          <t>Take</t>
        </is>
      </c>
      <c r="S157" s="12" t="inlineStr">
        <is>
          <t>b653f9</t>
        </is>
      </c>
    </row>
    <row r="158">
      <c r="A158" s="24" t="n">
        <v>46315.64722222222</v>
      </c>
      <c r="B158" s="25" t="inlineStr">
        <is>
          <t>Uber</t>
        </is>
      </c>
      <c r="C158" s="26" t="n">
        <v>1.31</v>
      </c>
      <c r="D158" s="27" t="n">
        <v>5.4</v>
      </c>
      <c r="E158" s="26" t="n">
        <v>5.68</v>
      </c>
      <c r="F158" s="27" t="n">
        <v>18.9</v>
      </c>
      <c r="G158" s="28" t="n">
        <v>13.1</v>
      </c>
      <c r="H158" s="29">
        <f>IFERROR(G158/(C158+E158),0)</f>
        <v/>
      </c>
      <c r="I158" s="29">
        <f>IFERROR((G158-(C158+E158)*Assumptions!$B$13)/((D158+F158)/60),0)</f>
        <v/>
      </c>
      <c r="J158" s="25" t="inlineStr">
        <is>
          <t>Passed</t>
        </is>
      </c>
      <c r="K158" s="29" t="n"/>
      <c r="L158" s="29" t="n"/>
      <c r="M158" s="29">
        <f>IF(J158="Took",L158,ROUND(G158*(1+Assumptions!$B$14)-(C158+E158)*Assumptions!$B$13,2))</f>
        <v/>
      </c>
      <c r="N158" s="25" t="inlineStr">
        <is>
          <t>Busy</t>
        </is>
      </c>
      <c r="O158" s="25" t="inlineStr">
        <is>
          <t>Busy</t>
        </is>
      </c>
      <c r="P158" s="25" t="inlineStr">
        <is>
          <t>Busy</t>
        </is>
      </c>
      <c r="Q158" s="25" t="inlineStr">
        <is>
          <t>Busy</t>
        </is>
      </c>
      <c r="R158" s="25" t="inlineStr">
        <is>
          <t>Busy</t>
        </is>
      </c>
      <c r="S158" s="25" t="inlineStr">
        <is>
          <t>e0cda4</t>
        </is>
      </c>
    </row>
    <row r="159">
      <c r="A159" s="30" t="n">
        <v>46315.65972222222</v>
      </c>
      <c r="B159" s="12" t="inlineStr">
        <is>
          <t>Uber</t>
        </is>
      </c>
      <c r="C159" s="31" t="n">
        <v>0.54</v>
      </c>
      <c r="D159" s="22" t="n">
        <v>3.9</v>
      </c>
      <c r="E159" s="31" t="n">
        <v>8.31</v>
      </c>
      <c r="F159" s="22" t="n">
        <v>21.4</v>
      </c>
      <c r="G159" s="32" t="n">
        <v>27.79</v>
      </c>
      <c r="H159" s="33">
        <f>IFERROR(G159/(C159+E159),0)</f>
        <v/>
      </c>
      <c r="I159" s="33">
        <f>IFERROR((G159-(C159+E159)*Assumptions!$B$13)/((D159+F159)/60),0)</f>
        <v/>
      </c>
      <c r="J159" s="12" t="inlineStr">
        <is>
          <t>Took</t>
        </is>
      </c>
      <c r="K159" s="32" t="n">
        <v>27.79</v>
      </c>
      <c r="L159" s="32" t="n">
        <v>25.32</v>
      </c>
      <c r="M159" s="33">
        <f>IF(J159="Took",L159,ROUND(G159*(1+Assumptions!$B$14)-(C159+E159)*Assumptions!$B$13,2))</f>
        <v/>
      </c>
      <c r="N159" s="12" t="inlineStr">
        <is>
          <t>Take</t>
        </is>
      </c>
      <c r="O159" s="12" t="inlineStr">
        <is>
          <t>Take</t>
        </is>
      </c>
      <c r="P159" s="12" t="inlineStr">
        <is>
          <t>Take</t>
        </is>
      </c>
      <c r="Q159" s="12" t="inlineStr">
        <is>
          <t>Take</t>
        </is>
      </c>
      <c r="R159" s="12" t="inlineStr">
        <is>
          <t>Take</t>
        </is>
      </c>
      <c r="S159" s="12" t="inlineStr">
        <is>
          <t>e958be</t>
        </is>
      </c>
    </row>
    <row r="160">
      <c r="A160" s="24" t="n">
        <v>46315.77708333333</v>
      </c>
      <c r="B160" s="25" t="inlineStr">
        <is>
          <t>Uber</t>
        </is>
      </c>
      <c r="C160" s="26" t="n">
        <v>1.31</v>
      </c>
      <c r="D160" s="27" t="n">
        <v>5.7</v>
      </c>
      <c r="E160" s="26" t="n">
        <v>23.33</v>
      </c>
      <c r="F160" s="27" t="n">
        <v>54.8</v>
      </c>
      <c r="G160" s="28" t="n">
        <v>34.5</v>
      </c>
      <c r="H160" s="29">
        <f>IFERROR(G160/(C160+E160),0)</f>
        <v/>
      </c>
      <c r="I160" s="29">
        <f>IFERROR((G160-(C160+E160)*Assumptions!$B$13)/((D160+F160)/60),0)</f>
        <v/>
      </c>
      <c r="J160" s="25" t="inlineStr">
        <is>
          <t>Took</t>
        </is>
      </c>
      <c r="K160" s="28" t="n">
        <v>34.5</v>
      </c>
      <c r="L160" s="28" t="n">
        <v>27.52</v>
      </c>
      <c r="M160" s="29">
        <f>IF(J160="Took",L160,ROUND(G160*(1+Assumptions!$B$14)-(C160+E160)*Assumptions!$B$13,2))</f>
        <v/>
      </c>
      <c r="N160" s="25" t="inlineStr">
        <is>
          <t>Take</t>
        </is>
      </c>
      <c r="O160" s="25" t="inlineStr">
        <is>
          <t>Take</t>
        </is>
      </c>
      <c r="P160" s="25" t="inlineStr">
        <is>
          <t>Take</t>
        </is>
      </c>
      <c r="Q160" s="25" t="inlineStr">
        <is>
          <t>Take</t>
        </is>
      </c>
      <c r="R160" s="25" t="inlineStr">
        <is>
          <t>Take</t>
        </is>
      </c>
      <c r="S160" s="25" t="inlineStr">
        <is>
          <t>8ee113</t>
        </is>
      </c>
    </row>
    <row r="161">
      <c r="A161" s="30" t="n">
        <v>46315.87916666667</v>
      </c>
      <c r="B161" s="12" t="inlineStr">
        <is>
          <t>Uber</t>
        </is>
      </c>
      <c r="C161" s="31" t="n">
        <v>1.09</v>
      </c>
      <c r="D161" s="22" t="n">
        <v>5.2</v>
      </c>
      <c r="E161" s="31" t="n">
        <v>6.5</v>
      </c>
      <c r="F161" s="22" t="n">
        <v>18.9</v>
      </c>
      <c r="G161" s="32" t="n">
        <v>13.64</v>
      </c>
      <c r="H161" s="33">
        <f>IFERROR(G161/(C161+E161),0)</f>
        <v/>
      </c>
      <c r="I161" s="33">
        <f>IFERROR((G161-(C161+E161)*Assumptions!$B$13)/((D161+F161)/60),0)</f>
        <v/>
      </c>
      <c r="J161" s="12" t="inlineStr">
        <is>
          <t>Took</t>
        </is>
      </c>
      <c r="K161" s="32" t="n">
        <v>4.55</v>
      </c>
      <c r="L161" s="32" t="n">
        <v>4.24</v>
      </c>
      <c r="M161" s="33">
        <f>IF(J161="Took",L161,ROUND(G161*(1+Assumptions!$B$14)-(C161+E161)*Assumptions!$B$13,2))</f>
        <v/>
      </c>
      <c r="N161" s="12" t="inlineStr">
        <is>
          <t>Take</t>
        </is>
      </c>
      <c r="O161" s="12" t="inlineStr">
        <is>
          <t>Take</t>
        </is>
      </c>
      <c r="P161" s="12" t="inlineStr">
        <is>
          <t>Take</t>
        </is>
      </c>
      <c r="Q161" s="12" t="inlineStr">
        <is>
          <t>Take</t>
        </is>
      </c>
      <c r="R161" s="12" t="inlineStr">
        <is>
          <t>Take</t>
        </is>
      </c>
      <c r="S161" s="12" t="inlineStr">
        <is>
          <t>86e3bb</t>
        </is>
      </c>
    </row>
    <row r="162">
      <c r="A162" s="24" t="n">
        <v>46315.90277777778</v>
      </c>
      <c r="B162" s="25" t="inlineStr">
        <is>
          <t>Lyft</t>
        </is>
      </c>
      <c r="C162" s="26" t="n">
        <v>2.23</v>
      </c>
      <c r="D162" s="27" t="n">
        <v>7.8</v>
      </c>
      <c r="E162" s="26" t="n">
        <v>18.1</v>
      </c>
      <c r="F162" s="27" t="n">
        <v>45.4</v>
      </c>
      <c r="G162" s="28" t="n">
        <v>34.2</v>
      </c>
      <c r="H162" s="29">
        <f>IFERROR(G162/(C162+E162),0)</f>
        <v/>
      </c>
      <c r="I162" s="29">
        <f>IFERROR((G162-(C162+E162)*Assumptions!$B$13)/((D162+F162)/60),0)</f>
        <v/>
      </c>
      <c r="J162" s="25" t="inlineStr">
        <is>
          <t>Passed</t>
        </is>
      </c>
      <c r="K162" s="29" t="n"/>
      <c r="L162" s="29" t="n"/>
      <c r="M162" s="29">
        <f>IF(J162="Took",L162,ROUND(G162*(1+Assumptions!$B$14)-(C162+E162)*Assumptions!$B$13,2))</f>
        <v/>
      </c>
      <c r="N162" s="25" t="inlineStr">
        <is>
          <t>Busy</t>
        </is>
      </c>
      <c r="O162" s="25" t="inlineStr">
        <is>
          <t>Skip</t>
        </is>
      </c>
      <c r="P162" s="25" t="inlineStr">
        <is>
          <t>Busy</t>
        </is>
      </c>
      <c r="Q162" s="25" t="inlineStr">
        <is>
          <t>Busy</t>
        </is>
      </c>
      <c r="R162" s="25" t="inlineStr">
        <is>
          <t>Busy</t>
        </is>
      </c>
      <c r="S162" s="25" t="inlineStr">
        <is>
          <t>e3a7ad</t>
        </is>
      </c>
    </row>
    <row r="163">
      <c r="A163" s="30" t="n">
        <v>46315.90416666667</v>
      </c>
      <c r="B163" s="12" t="inlineStr">
        <is>
          <t>Uber</t>
        </is>
      </c>
      <c r="C163" s="31" t="n">
        <v>0.71</v>
      </c>
      <c r="D163" s="22" t="n">
        <v>4.8</v>
      </c>
      <c r="E163" s="31" t="n">
        <v>24.74</v>
      </c>
      <c r="F163" s="22" t="n">
        <v>63.3</v>
      </c>
      <c r="G163" s="32" t="n">
        <v>52.79</v>
      </c>
      <c r="H163" s="33">
        <f>IFERROR(G163/(C163+E163),0)</f>
        <v/>
      </c>
      <c r="I163" s="33">
        <f>IFERROR((G163-(C163+E163)*Assumptions!$B$13)/((D163+F163)/60),0)</f>
        <v/>
      </c>
      <c r="J163" s="12" t="inlineStr">
        <is>
          <t>Took</t>
        </is>
      </c>
      <c r="K163" s="32" t="n">
        <v>52.79</v>
      </c>
      <c r="L163" s="32" t="n">
        <v>45.72</v>
      </c>
      <c r="M163" s="33">
        <f>IF(J163="Took",L163,ROUND(G163*(1+Assumptions!$B$14)-(C163+E163)*Assumptions!$B$13,2))</f>
        <v/>
      </c>
      <c r="N163" s="12" t="inlineStr">
        <is>
          <t>Take</t>
        </is>
      </c>
      <c r="O163" s="12" t="inlineStr">
        <is>
          <t>Take</t>
        </is>
      </c>
      <c r="P163" s="12" t="inlineStr">
        <is>
          <t>Take</t>
        </is>
      </c>
      <c r="Q163" s="12" t="inlineStr">
        <is>
          <t>Take</t>
        </is>
      </c>
      <c r="R163" s="12" t="inlineStr">
        <is>
          <t>Take</t>
        </is>
      </c>
      <c r="S163" s="12" t="inlineStr">
        <is>
          <t>b5be7d</t>
        </is>
      </c>
    </row>
    <row r="164">
      <c r="A164" s="24" t="n">
        <v>46316.36388888889</v>
      </c>
      <c r="B164" s="25" t="inlineStr">
        <is>
          <t>Lyft</t>
        </is>
      </c>
      <c r="C164" s="26" t="n">
        <v>1.45</v>
      </c>
      <c r="D164" s="27" t="n">
        <v>5.8</v>
      </c>
      <c r="E164" s="26" t="n">
        <v>2.85</v>
      </c>
      <c r="F164" s="27" t="n">
        <v>11.8</v>
      </c>
      <c r="G164" s="28" t="n">
        <v>8.77</v>
      </c>
      <c r="H164" s="29">
        <f>IFERROR(G164/(C164+E164),0)</f>
        <v/>
      </c>
      <c r="I164" s="29">
        <f>IFERROR((G164-(C164+E164)*Assumptions!$B$13)/((D164+F164)/60),0)</f>
        <v/>
      </c>
      <c r="J164" s="25" t="inlineStr">
        <is>
          <t>Passed</t>
        </is>
      </c>
      <c r="K164" s="29" t="n"/>
      <c r="L164" s="29" t="n"/>
      <c r="M164" s="29">
        <f>IF(J164="Took",L164,ROUND(G164*(1+Assumptions!$B$14)-(C164+E164)*Assumptions!$B$13,2))</f>
        <v/>
      </c>
      <c r="N164" s="25" t="inlineStr">
        <is>
          <t>Busy</t>
        </is>
      </c>
      <c r="O164" s="25" t="inlineStr">
        <is>
          <t>Busy</t>
        </is>
      </c>
      <c r="P164" s="25" t="inlineStr">
        <is>
          <t>Busy</t>
        </is>
      </c>
      <c r="Q164" s="25" t="inlineStr">
        <is>
          <t>Take</t>
        </is>
      </c>
      <c r="R164" s="25" t="inlineStr">
        <is>
          <t>Busy</t>
        </is>
      </c>
      <c r="S164" s="25" t="inlineStr">
        <is>
          <t>a893d3</t>
        </is>
      </c>
    </row>
    <row r="165">
      <c r="A165" s="30" t="n">
        <v>46316.36597222222</v>
      </c>
      <c r="B165" s="12" t="inlineStr">
        <is>
          <t>Uber</t>
        </is>
      </c>
      <c r="C165" s="31" t="n">
        <v>1.65</v>
      </c>
      <c r="D165" s="22" t="n">
        <v>6.6</v>
      </c>
      <c r="E165" s="31" t="n">
        <v>11.92</v>
      </c>
      <c r="F165" s="22" t="n">
        <v>30.6</v>
      </c>
      <c r="G165" s="32" t="n">
        <v>15.69</v>
      </c>
      <c r="H165" s="33">
        <f>IFERROR(G165/(C165+E165),0)</f>
        <v/>
      </c>
      <c r="I165" s="33">
        <f>IFERROR((G165-(C165+E165)*Assumptions!$B$13)/((D165+F165)/60),0)</f>
        <v/>
      </c>
      <c r="J165" s="12" t="inlineStr">
        <is>
          <t>Took</t>
        </is>
      </c>
      <c r="K165" s="32" t="n">
        <v>15.69</v>
      </c>
      <c r="L165" s="32" t="n">
        <v>11.87</v>
      </c>
      <c r="M165" s="33">
        <f>IF(J165="Took",L165,ROUND(G165*(1+Assumptions!$B$14)-(C165+E165)*Assumptions!$B$13,2))</f>
        <v/>
      </c>
      <c r="N165" s="12" t="inlineStr">
        <is>
          <t>Take</t>
        </is>
      </c>
      <c r="O165" s="12" t="inlineStr">
        <is>
          <t>Take</t>
        </is>
      </c>
      <c r="P165" s="12" t="inlineStr">
        <is>
          <t>Take</t>
        </is>
      </c>
      <c r="Q165" s="12" t="inlineStr">
        <is>
          <t>Skip</t>
        </is>
      </c>
      <c r="R165" s="12" t="inlineStr">
        <is>
          <t>Take</t>
        </is>
      </c>
      <c r="S165" s="12" t="inlineStr">
        <is>
          <t>208f58</t>
        </is>
      </c>
    </row>
    <row r="166">
      <c r="A166" s="24" t="n">
        <v>46316.36875</v>
      </c>
      <c r="B166" s="25" t="inlineStr">
        <is>
          <t>Lyft</t>
        </is>
      </c>
      <c r="C166" s="26" t="n">
        <v>2.77</v>
      </c>
      <c r="D166" s="27" t="n">
        <v>9.199999999999999</v>
      </c>
      <c r="E166" s="26" t="n">
        <v>18.65</v>
      </c>
      <c r="F166" s="27" t="n">
        <v>46.7</v>
      </c>
      <c r="G166" s="28" t="n">
        <v>33.76</v>
      </c>
      <c r="H166" s="29">
        <f>IFERROR(G166/(C166+E166),0)</f>
        <v/>
      </c>
      <c r="I166" s="29">
        <f>IFERROR((G166-(C166+E166)*Assumptions!$B$13)/((D166+F166)/60),0)</f>
        <v/>
      </c>
      <c r="J166" s="25" t="inlineStr">
        <is>
          <t>Passed</t>
        </is>
      </c>
      <c r="K166" s="29" t="n"/>
      <c r="L166" s="29" t="n"/>
      <c r="M166" s="29">
        <f>IF(J166="Took",L166,ROUND(G166*(1+Assumptions!$B$14)-(C166+E166)*Assumptions!$B$13,2))</f>
        <v/>
      </c>
      <c r="N166" s="25" t="inlineStr">
        <is>
          <t>Busy</t>
        </is>
      </c>
      <c r="O166" s="25" t="inlineStr">
        <is>
          <t>Skip</t>
        </is>
      </c>
      <c r="P166" s="25" t="inlineStr">
        <is>
          <t>Busy</t>
        </is>
      </c>
      <c r="Q166" s="25" t="inlineStr">
        <is>
          <t>Busy</t>
        </is>
      </c>
      <c r="R166" s="25" t="inlineStr">
        <is>
          <t>Busy</t>
        </is>
      </c>
      <c r="S166" s="25" t="inlineStr">
        <is>
          <t>37320d</t>
        </is>
      </c>
    </row>
    <row r="167">
      <c r="A167" s="30" t="n">
        <v>46316.37222222222</v>
      </c>
      <c r="B167" s="12" t="inlineStr">
        <is>
          <t>Uber</t>
        </is>
      </c>
      <c r="C167" s="31" t="n">
        <v>4.75</v>
      </c>
      <c r="D167" s="22" t="n">
        <v>14.4</v>
      </c>
      <c r="E167" s="31" t="n">
        <v>15.98</v>
      </c>
      <c r="F167" s="22" t="n">
        <v>41.4</v>
      </c>
      <c r="G167" s="32" t="n">
        <v>30.83</v>
      </c>
      <c r="H167" s="33">
        <f>IFERROR(G167/(C167+E167),0)</f>
        <v/>
      </c>
      <c r="I167" s="33">
        <f>IFERROR((G167-(C167+E167)*Assumptions!$B$13)/((D167+F167)/60),0)</f>
        <v/>
      </c>
      <c r="J167" s="12" t="inlineStr">
        <is>
          <t>Passed</t>
        </is>
      </c>
      <c r="K167" s="33" t="n"/>
      <c r="L167" s="33" t="n"/>
      <c r="M167" s="33">
        <f>IF(J167="Took",L167,ROUND(G167*(1+Assumptions!$B$14)-(C167+E167)*Assumptions!$B$13,2))</f>
        <v/>
      </c>
      <c r="N167" s="12" t="inlineStr">
        <is>
          <t>Skip</t>
        </is>
      </c>
      <c r="O167" s="12" t="inlineStr">
        <is>
          <t>Skip</t>
        </is>
      </c>
      <c r="P167" s="12" t="inlineStr">
        <is>
          <t>Busy</t>
        </is>
      </c>
      <c r="Q167" s="12" t="inlineStr">
        <is>
          <t>Busy</t>
        </is>
      </c>
      <c r="R167" s="12" t="inlineStr">
        <is>
          <t>Busy</t>
        </is>
      </c>
      <c r="S167" s="12" t="inlineStr">
        <is>
          <t>ee7e51</t>
        </is>
      </c>
    </row>
    <row r="168">
      <c r="A168" s="24" t="n">
        <v>46316.37777777778</v>
      </c>
      <c r="B168" s="25" t="inlineStr">
        <is>
          <t>Uber</t>
        </is>
      </c>
      <c r="C168" s="26" t="n">
        <v>0.54</v>
      </c>
      <c r="D168" s="27" t="n">
        <v>4.4</v>
      </c>
      <c r="E168" s="26" t="n">
        <v>3.19</v>
      </c>
      <c r="F168" s="27" t="n">
        <v>17</v>
      </c>
      <c r="G168" s="28" t="n">
        <v>16.79</v>
      </c>
      <c r="H168" s="29">
        <f>IFERROR(G168/(C168+E168),0)</f>
        <v/>
      </c>
      <c r="I168" s="29">
        <f>IFERROR((G168-(C168+E168)*Assumptions!$B$13)/((D168+F168)/60),0)</f>
        <v/>
      </c>
      <c r="J168" s="25" t="inlineStr">
        <is>
          <t>Took</t>
        </is>
      </c>
      <c r="K168" s="28" t="n">
        <v>16.79</v>
      </c>
      <c r="L168" s="28" t="n">
        <v>15.74</v>
      </c>
      <c r="M168" s="29">
        <f>IF(J168="Took",L168,ROUND(G168*(1+Assumptions!$B$14)-(C168+E168)*Assumptions!$B$13,2))</f>
        <v/>
      </c>
      <c r="N168" s="25" t="inlineStr">
        <is>
          <t>Take</t>
        </is>
      </c>
      <c r="O168" s="25" t="inlineStr">
        <is>
          <t>Take</t>
        </is>
      </c>
      <c r="P168" s="25" t="inlineStr">
        <is>
          <t>Take</t>
        </is>
      </c>
      <c r="Q168" s="25" t="inlineStr">
        <is>
          <t>Take</t>
        </is>
      </c>
      <c r="R168" s="25" t="inlineStr">
        <is>
          <t>Take</t>
        </is>
      </c>
      <c r="S168" s="25" t="inlineStr">
        <is>
          <t>09627a</t>
        </is>
      </c>
    </row>
    <row r="169">
      <c r="A169" s="30" t="n">
        <v>46316.37916666667</v>
      </c>
      <c r="B169" s="12" t="inlineStr">
        <is>
          <t>Uber</t>
        </is>
      </c>
      <c r="C169" s="31" t="n">
        <v>0.55</v>
      </c>
      <c r="D169" s="22" t="n">
        <v>3.8</v>
      </c>
      <c r="E169" s="31" t="n">
        <v>13.92</v>
      </c>
      <c r="F169" s="22" t="n">
        <v>38</v>
      </c>
      <c r="G169" s="32" t="n">
        <v>19.63</v>
      </c>
      <c r="H169" s="33">
        <f>IFERROR(G169/(C169+E169),0)</f>
        <v/>
      </c>
      <c r="I169" s="33">
        <f>IFERROR((G169-(C169+E169)*Assumptions!$B$13)/((D169+F169)/60),0)</f>
        <v/>
      </c>
      <c r="J169" s="12" t="inlineStr">
        <is>
          <t>Took</t>
        </is>
      </c>
      <c r="K169" s="32" t="n">
        <v>19.63</v>
      </c>
      <c r="L169" s="32" t="n">
        <v>15.54</v>
      </c>
      <c r="M169" s="33">
        <f>IF(J169="Took",L169,ROUND(G169*(1+Assumptions!$B$14)-(C169+E169)*Assumptions!$B$13,2))</f>
        <v/>
      </c>
      <c r="N169" s="12" t="inlineStr">
        <is>
          <t>Take</t>
        </is>
      </c>
      <c r="O169" s="12" t="inlineStr">
        <is>
          <t>Take</t>
        </is>
      </c>
      <c r="P169" s="12" t="inlineStr">
        <is>
          <t>Take</t>
        </is>
      </c>
      <c r="Q169" s="12" t="inlineStr">
        <is>
          <t>Take</t>
        </is>
      </c>
      <c r="R169" s="12" t="inlineStr">
        <is>
          <t>Take</t>
        </is>
      </c>
      <c r="S169" s="12" t="inlineStr">
        <is>
          <t>75e740</t>
        </is>
      </c>
    </row>
    <row r="170">
      <c r="A170" s="24" t="n">
        <v>46316.75277777778</v>
      </c>
      <c r="B170" s="25" t="inlineStr">
        <is>
          <t>Uber</t>
        </is>
      </c>
      <c r="C170" s="26" t="n">
        <v>4.18</v>
      </c>
      <c r="D170" s="27" t="n">
        <v>12.9</v>
      </c>
      <c r="E170" s="26" t="n">
        <v>10.83</v>
      </c>
      <c r="F170" s="27" t="n">
        <v>28.7</v>
      </c>
      <c r="G170" s="28" t="n">
        <v>21.89</v>
      </c>
      <c r="H170" s="29">
        <f>IFERROR(G170/(C170+E170),0)</f>
        <v/>
      </c>
      <c r="I170" s="29">
        <f>IFERROR((G170-(C170+E170)*Assumptions!$B$13)/((D170+F170)/60),0)</f>
        <v/>
      </c>
      <c r="J170" s="25" t="inlineStr">
        <is>
          <t>Passed</t>
        </is>
      </c>
      <c r="K170" s="29" t="n"/>
      <c r="L170" s="29" t="n"/>
      <c r="M170" s="29">
        <f>IF(J170="Took",L170,ROUND(G170*(1+Assumptions!$B$14)-(C170+E170)*Assumptions!$B$13,2))</f>
        <v/>
      </c>
      <c r="N170" s="25" t="inlineStr">
        <is>
          <t>Skip</t>
        </is>
      </c>
      <c r="O170" s="25" t="inlineStr">
        <is>
          <t>Skip</t>
        </is>
      </c>
      <c r="P170" s="25" t="inlineStr">
        <is>
          <t>Busy</t>
        </is>
      </c>
      <c r="Q170" s="25" t="inlineStr">
        <is>
          <t>Busy</t>
        </is>
      </c>
      <c r="R170" s="25" t="inlineStr">
        <is>
          <t>Busy</t>
        </is>
      </c>
      <c r="S170" s="25" t="inlineStr">
        <is>
          <t>1e15f1</t>
        </is>
      </c>
    </row>
    <row r="171">
      <c r="A171" s="30" t="n">
        <v>46316.76458333333</v>
      </c>
      <c r="B171" s="12" t="inlineStr">
        <is>
          <t>Uber</t>
        </is>
      </c>
      <c r="C171" s="31" t="n">
        <v>2.29</v>
      </c>
      <c r="D171" s="22" t="n">
        <v>7.6</v>
      </c>
      <c r="E171" s="31" t="n">
        <v>23.67</v>
      </c>
      <c r="F171" s="22" t="n">
        <v>60.8</v>
      </c>
      <c r="G171" s="32" t="n">
        <v>36.55</v>
      </c>
      <c r="H171" s="33">
        <f>IFERROR(G171/(C171+E171),0)</f>
        <v/>
      </c>
      <c r="I171" s="33">
        <f>IFERROR((G171-(C171+E171)*Assumptions!$B$13)/((D171+F171)/60),0)</f>
        <v/>
      </c>
      <c r="J171" s="12" t="inlineStr">
        <is>
          <t>Took</t>
        </is>
      </c>
      <c r="K171" s="32" t="n">
        <v>36.55</v>
      </c>
      <c r="L171" s="32" t="n">
        <v>29.31</v>
      </c>
      <c r="M171" s="33">
        <f>IF(J171="Took",L171,ROUND(G171*(1+Assumptions!$B$14)-(C171+E171)*Assumptions!$B$13,2))</f>
        <v/>
      </c>
      <c r="N171" s="12" t="inlineStr">
        <is>
          <t>Take</t>
        </is>
      </c>
      <c r="O171" s="12" t="inlineStr">
        <is>
          <t>Skip</t>
        </is>
      </c>
      <c r="P171" s="12" t="inlineStr">
        <is>
          <t>Take</t>
        </is>
      </c>
      <c r="Q171" s="12" t="inlineStr">
        <is>
          <t>Take</t>
        </is>
      </c>
      <c r="R171" s="12" t="inlineStr">
        <is>
          <t>Take</t>
        </is>
      </c>
      <c r="S171" s="12" t="inlineStr">
        <is>
          <t>b52fa6</t>
        </is>
      </c>
    </row>
    <row r="172">
      <c r="A172" s="24" t="n">
        <v>46317.34375</v>
      </c>
      <c r="B172" s="25" t="inlineStr">
        <is>
          <t>Uber</t>
        </is>
      </c>
      <c r="C172" s="26" t="n">
        <v>2.76</v>
      </c>
      <c r="D172" s="27" t="n">
        <v>9.199999999999999</v>
      </c>
      <c r="E172" s="26" t="n">
        <v>6.94</v>
      </c>
      <c r="F172" s="27" t="n">
        <v>19.2</v>
      </c>
      <c r="G172" s="28" t="n">
        <v>15.53</v>
      </c>
      <c r="H172" s="29">
        <f>IFERROR(G172/(C172+E172),0)</f>
        <v/>
      </c>
      <c r="I172" s="29">
        <f>IFERROR((G172-(C172+E172)*Assumptions!$B$13)/((D172+F172)/60),0)</f>
        <v/>
      </c>
      <c r="J172" s="25" t="inlineStr">
        <is>
          <t>Passed</t>
        </is>
      </c>
      <c r="K172" s="29" t="n"/>
      <c r="L172" s="29" t="n"/>
      <c r="M172" s="29">
        <f>IF(J172="Took",L172,ROUND(G172*(1+Assumptions!$B$14)-(C172+E172)*Assumptions!$B$13,2))</f>
        <v/>
      </c>
      <c r="N172" s="25" t="inlineStr">
        <is>
          <t>Busy</t>
        </is>
      </c>
      <c r="O172" s="25" t="inlineStr">
        <is>
          <t>Skip</t>
        </is>
      </c>
      <c r="P172" s="25" t="inlineStr">
        <is>
          <t>Busy</t>
        </is>
      </c>
      <c r="Q172" s="25" t="inlineStr">
        <is>
          <t>Busy</t>
        </is>
      </c>
      <c r="R172" s="25" t="inlineStr">
        <is>
          <t>Busy</t>
        </is>
      </c>
      <c r="S172" s="25" t="inlineStr">
        <is>
          <t>e7a780</t>
        </is>
      </c>
    </row>
    <row r="173">
      <c r="A173" s="30" t="n">
        <v>46317.35208333333</v>
      </c>
      <c r="B173" s="12" t="inlineStr">
        <is>
          <t>Lyft</t>
        </is>
      </c>
      <c r="C173" s="31" t="n">
        <v>2.69</v>
      </c>
      <c r="D173" s="22" t="n">
        <v>9.1</v>
      </c>
      <c r="E173" s="31" t="n">
        <v>2.75</v>
      </c>
      <c r="F173" s="22" t="n">
        <v>12</v>
      </c>
      <c r="G173" s="32" t="n">
        <v>9.859999999999999</v>
      </c>
      <c r="H173" s="33">
        <f>IFERROR(G173/(C173+E173),0)</f>
        <v/>
      </c>
      <c r="I173" s="33">
        <f>IFERROR((G173-(C173+E173)*Assumptions!$B$13)/((D173+F173)/60),0)</f>
        <v/>
      </c>
      <c r="J173" s="12" t="inlineStr">
        <is>
          <t>Took</t>
        </is>
      </c>
      <c r="K173" s="32" t="n">
        <v>9.859999999999999</v>
      </c>
      <c r="L173" s="32" t="n">
        <v>8.33</v>
      </c>
      <c r="M173" s="33">
        <f>IF(J173="Took",L173,ROUND(G173*(1+Assumptions!$B$14)-(C173+E173)*Assumptions!$B$13,2))</f>
        <v/>
      </c>
      <c r="N173" s="12" t="inlineStr">
        <is>
          <t>Take</t>
        </is>
      </c>
      <c r="O173" s="12" t="inlineStr">
        <is>
          <t>Skip</t>
        </is>
      </c>
      <c r="P173" s="12" t="inlineStr">
        <is>
          <t>Take</t>
        </is>
      </c>
      <c r="Q173" s="12" t="inlineStr">
        <is>
          <t>Take</t>
        </is>
      </c>
      <c r="R173" s="12" t="inlineStr">
        <is>
          <t>Take</t>
        </is>
      </c>
      <c r="S173" s="12" t="inlineStr">
        <is>
          <t>a9537e</t>
        </is>
      </c>
    </row>
    <row r="174">
      <c r="A174" s="24" t="n">
        <v>46317.35347222222</v>
      </c>
      <c r="B174" s="25" t="inlineStr">
        <is>
          <t>Lyft</t>
        </is>
      </c>
      <c r="C174" s="26" t="n">
        <v>2.46</v>
      </c>
      <c r="D174" s="27" t="n">
        <v>8.4</v>
      </c>
      <c r="E174" s="26" t="n">
        <v>23.65</v>
      </c>
      <c r="F174" s="27" t="n">
        <v>55.2</v>
      </c>
      <c r="G174" s="28" t="n">
        <v>42.85</v>
      </c>
      <c r="H174" s="29">
        <f>IFERROR(G174/(C174+E174),0)</f>
        <v/>
      </c>
      <c r="I174" s="29">
        <f>IFERROR((G174-(C174+E174)*Assumptions!$B$13)/((D174+F174)/60),0)</f>
        <v/>
      </c>
      <c r="J174" s="25" t="inlineStr">
        <is>
          <t>Passed</t>
        </is>
      </c>
      <c r="K174" s="29" t="n"/>
      <c r="L174" s="29" t="n"/>
      <c r="M174" s="29">
        <f>IF(J174="Took",L174,ROUND(G174*(1+Assumptions!$B$14)-(C174+E174)*Assumptions!$B$13,2))</f>
        <v/>
      </c>
      <c r="N174" s="25" t="inlineStr">
        <is>
          <t>Busy</t>
        </is>
      </c>
      <c r="O174" s="25" t="inlineStr">
        <is>
          <t>Skip</t>
        </is>
      </c>
      <c r="P174" s="25" t="inlineStr">
        <is>
          <t>Busy</t>
        </is>
      </c>
      <c r="Q174" s="25" t="inlineStr">
        <is>
          <t>Busy</t>
        </is>
      </c>
      <c r="R174" s="25" t="inlineStr">
        <is>
          <t>Busy</t>
        </is>
      </c>
      <c r="S174" s="25" t="inlineStr">
        <is>
          <t>696b99</t>
        </is>
      </c>
    </row>
    <row r="175">
      <c r="A175" s="30" t="n">
        <v>46317.35625</v>
      </c>
      <c r="B175" s="12" t="inlineStr">
        <is>
          <t>Lyft</t>
        </is>
      </c>
      <c r="C175" s="31" t="n">
        <v>1.44</v>
      </c>
      <c r="D175" s="22" t="n">
        <v>5.6</v>
      </c>
      <c r="E175" s="31" t="n">
        <v>5.71</v>
      </c>
      <c r="F175" s="22" t="n">
        <v>17.1</v>
      </c>
      <c r="G175" s="32" t="n">
        <v>12.34</v>
      </c>
      <c r="H175" s="33">
        <f>IFERROR(G175/(C175+E175),0)</f>
        <v/>
      </c>
      <c r="I175" s="33">
        <f>IFERROR((G175-(C175+E175)*Assumptions!$B$13)/((D175+F175)/60),0)</f>
        <v/>
      </c>
      <c r="J175" s="12" t="inlineStr">
        <is>
          <t>Took</t>
        </is>
      </c>
      <c r="K175" s="32" t="n">
        <v>5</v>
      </c>
      <c r="L175" s="32" t="n">
        <v>4.6</v>
      </c>
      <c r="M175" s="33">
        <f>IF(J175="Took",L175,ROUND(G175*(1+Assumptions!$B$14)-(C175+E175)*Assumptions!$B$13,2))</f>
        <v/>
      </c>
      <c r="N175" s="12" t="inlineStr">
        <is>
          <t>Take</t>
        </is>
      </c>
      <c r="O175" s="12" t="inlineStr">
        <is>
          <t>Take</t>
        </is>
      </c>
      <c r="P175" s="12" t="inlineStr">
        <is>
          <t>Take</t>
        </is>
      </c>
      <c r="Q175" s="12" t="inlineStr">
        <is>
          <t>Take</t>
        </is>
      </c>
      <c r="R175" s="12" t="inlineStr">
        <is>
          <t>Take</t>
        </is>
      </c>
      <c r="S175" s="12" t="inlineStr">
        <is>
          <t>ca9e40</t>
        </is>
      </c>
    </row>
    <row r="176">
      <c r="A176" s="24" t="n">
        <v>46317.55486111111</v>
      </c>
      <c r="B176" s="25" t="inlineStr">
        <is>
          <t>Uber</t>
        </is>
      </c>
      <c r="C176" s="26" t="n">
        <v>3.85</v>
      </c>
      <c r="D176" s="27" t="n">
        <v>12</v>
      </c>
      <c r="E176" s="26" t="n">
        <v>15.43</v>
      </c>
      <c r="F176" s="27" t="n">
        <v>39.8</v>
      </c>
      <c r="G176" s="28" t="n">
        <v>29.36</v>
      </c>
      <c r="H176" s="29">
        <f>IFERROR(G176/(C176+E176),0)</f>
        <v/>
      </c>
      <c r="I176" s="29">
        <f>IFERROR((G176-(C176+E176)*Assumptions!$B$13)/((D176+F176)/60),0)</f>
        <v/>
      </c>
      <c r="J176" s="25" t="inlineStr">
        <is>
          <t>Passed</t>
        </is>
      </c>
      <c r="K176" s="29" t="n"/>
      <c r="L176" s="29" t="n"/>
      <c r="M176" s="29">
        <f>IF(J176="Took",L176,ROUND(G176*(1+Assumptions!$B$14)-(C176+E176)*Assumptions!$B$13,2))</f>
        <v/>
      </c>
      <c r="N176" s="25" t="inlineStr">
        <is>
          <t>Skip</t>
        </is>
      </c>
      <c r="O176" s="25" t="inlineStr">
        <is>
          <t>Skip</t>
        </is>
      </c>
      <c r="P176" s="25" t="inlineStr">
        <is>
          <t>Busy</t>
        </is>
      </c>
      <c r="Q176" s="25" t="inlineStr">
        <is>
          <t>Busy</t>
        </is>
      </c>
      <c r="R176" s="25" t="inlineStr">
        <is>
          <t>Busy</t>
        </is>
      </c>
      <c r="S176" s="25" t="inlineStr">
        <is>
          <t>20d995</t>
        </is>
      </c>
    </row>
    <row r="177">
      <c r="A177" s="30" t="n">
        <v>46317.55694444444</v>
      </c>
      <c r="B177" s="12" t="inlineStr">
        <is>
          <t>Uber</t>
        </is>
      </c>
      <c r="C177" s="31" t="n">
        <v>0.89</v>
      </c>
      <c r="D177" s="22" t="n">
        <v>4.4</v>
      </c>
      <c r="E177" s="31" t="n">
        <v>21.17</v>
      </c>
      <c r="F177" s="22" t="n">
        <v>52.6</v>
      </c>
      <c r="G177" s="32" t="n">
        <v>34.15</v>
      </c>
      <c r="H177" s="33">
        <f>IFERROR(G177/(C177+E177),0)</f>
        <v/>
      </c>
      <c r="I177" s="33">
        <f>IFERROR((G177-(C177+E177)*Assumptions!$B$13)/((D177+F177)/60),0)</f>
        <v/>
      </c>
      <c r="J177" s="12" t="inlineStr">
        <is>
          <t>Took</t>
        </is>
      </c>
      <c r="K177" s="32" t="n">
        <v>34.15</v>
      </c>
      <c r="L177" s="32" t="n">
        <v>27.96</v>
      </c>
      <c r="M177" s="33">
        <f>IF(J177="Took",L177,ROUND(G177*(1+Assumptions!$B$14)-(C177+E177)*Assumptions!$B$13,2))</f>
        <v/>
      </c>
      <c r="N177" s="12" t="inlineStr">
        <is>
          <t>Take</t>
        </is>
      </c>
      <c r="O177" s="12" t="inlineStr">
        <is>
          <t>Take</t>
        </is>
      </c>
      <c r="P177" s="12" t="inlineStr">
        <is>
          <t>Take</t>
        </is>
      </c>
      <c r="Q177" s="12" t="inlineStr">
        <is>
          <t>Take</t>
        </is>
      </c>
      <c r="R177" s="12" t="inlineStr">
        <is>
          <t>Take</t>
        </is>
      </c>
      <c r="S177" s="12" t="inlineStr">
        <is>
          <t>0c8727</t>
        </is>
      </c>
    </row>
    <row r="178">
      <c r="A178" s="24" t="n">
        <v>46317.78055555555</v>
      </c>
      <c r="B178" s="25" t="inlineStr">
        <is>
          <t>Uber</t>
        </is>
      </c>
      <c r="C178" s="26" t="n">
        <v>1.6</v>
      </c>
      <c r="D178" s="27" t="n">
        <v>6.2</v>
      </c>
      <c r="E178" s="26" t="n">
        <v>5.53</v>
      </c>
      <c r="F178" s="27" t="n">
        <v>17</v>
      </c>
      <c r="G178" s="28" t="n">
        <v>11.23</v>
      </c>
      <c r="H178" s="29">
        <f>IFERROR(G178/(C178+E178),0)</f>
        <v/>
      </c>
      <c r="I178" s="29">
        <f>IFERROR((G178-(C178+E178)*Assumptions!$B$13)/((D178+F178)/60),0)</f>
        <v/>
      </c>
      <c r="J178" s="25" t="inlineStr">
        <is>
          <t>Passed</t>
        </is>
      </c>
      <c r="K178" s="29" t="n"/>
      <c r="L178" s="29" t="n"/>
      <c r="M178" s="29">
        <f>IF(J178="Took",L178,ROUND(G178*(1+Assumptions!$B$14)-(C178+E178)*Assumptions!$B$13,2))</f>
        <v/>
      </c>
      <c r="N178" s="25" t="inlineStr">
        <is>
          <t>Busy</t>
        </is>
      </c>
      <c r="O178" s="25" t="inlineStr">
        <is>
          <t>Busy</t>
        </is>
      </c>
      <c r="P178" s="25" t="inlineStr">
        <is>
          <t>Busy</t>
        </is>
      </c>
      <c r="Q178" s="25" t="inlineStr">
        <is>
          <t>Busy</t>
        </is>
      </c>
      <c r="R178" s="25" t="inlineStr">
        <is>
          <t>Busy</t>
        </is>
      </c>
      <c r="S178" s="25" t="inlineStr">
        <is>
          <t>004279</t>
        </is>
      </c>
    </row>
    <row r="179">
      <c r="A179" s="30" t="n">
        <v>46317.78472222222</v>
      </c>
      <c r="B179" s="12" t="inlineStr">
        <is>
          <t>Uber</t>
        </is>
      </c>
      <c r="C179" s="31" t="n">
        <v>3.24</v>
      </c>
      <c r="D179" s="22" t="n">
        <v>10.4</v>
      </c>
      <c r="E179" s="31" t="n">
        <v>6.78</v>
      </c>
      <c r="F179" s="22" t="n">
        <v>19.7</v>
      </c>
      <c r="G179" s="32" t="n">
        <v>15.82</v>
      </c>
      <c r="H179" s="33">
        <f>IFERROR(G179/(C179+E179),0)</f>
        <v/>
      </c>
      <c r="I179" s="33">
        <f>IFERROR((G179-(C179+E179)*Assumptions!$B$13)/((D179+F179)/60),0)</f>
        <v/>
      </c>
      <c r="J179" s="12" t="inlineStr">
        <is>
          <t>Passed</t>
        </is>
      </c>
      <c r="K179" s="33" t="n"/>
      <c r="L179" s="33" t="n"/>
      <c r="M179" s="33">
        <f>IF(J179="Took",L179,ROUND(G179*(1+Assumptions!$B$14)-(C179+E179)*Assumptions!$B$13,2))</f>
        <v/>
      </c>
      <c r="N179" s="12" t="inlineStr">
        <is>
          <t>Skip</t>
        </is>
      </c>
      <c r="O179" s="12" t="inlineStr">
        <is>
          <t>Skip</t>
        </is>
      </c>
      <c r="P179" s="12" t="inlineStr">
        <is>
          <t>Busy</t>
        </is>
      </c>
      <c r="Q179" s="12" t="inlineStr">
        <is>
          <t>Busy</t>
        </is>
      </c>
      <c r="R179" s="12" t="inlineStr">
        <is>
          <t>Busy</t>
        </is>
      </c>
      <c r="S179" s="12" t="inlineStr">
        <is>
          <t>0f09c6</t>
        </is>
      </c>
    </row>
    <row r="180">
      <c r="A180" s="24" t="n">
        <v>46317.79097222222</v>
      </c>
      <c r="B180" s="25" t="inlineStr">
        <is>
          <t>Lyft</t>
        </is>
      </c>
      <c r="C180" s="26" t="n">
        <v>0.44</v>
      </c>
      <c r="D180" s="27" t="n">
        <v>2.9</v>
      </c>
      <c r="E180" s="26" t="n">
        <v>22.28</v>
      </c>
      <c r="F180" s="27" t="n">
        <v>55.1</v>
      </c>
      <c r="G180" s="28" t="n">
        <v>33.92</v>
      </c>
      <c r="H180" s="29">
        <f>IFERROR(G180/(C180+E180),0)</f>
        <v/>
      </c>
      <c r="I180" s="29">
        <f>IFERROR((G180-(C180+E180)*Assumptions!$B$13)/((D180+F180)/60),0)</f>
        <v/>
      </c>
      <c r="J180" s="25" t="inlineStr">
        <is>
          <t>Took</t>
        </is>
      </c>
      <c r="K180" s="28" t="n">
        <v>33.92</v>
      </c>
      <c r="L180" s="28" t="n">
        <v>27.61</v>
      </c>
      <c r="M180" s="29">
        <f>IF(J180="Took",L180,ROUND(G180*(1+Assumptions!$B$14)-(C180+E180)*Assumptions!$B$13,2))</f>
        <v/>
      </c>
      <c r="N180" s="25" t="inlineStr">
        <is>
          <t>Take</t>
        </is>
      </c>
      <c r="O180" s="25" t="inlineStr">
        <is>
          <t>Take</t>
        </is>
      </c>
      <c r="P180" s="25" t="inlineStr">
        <is>
          <t>Take</t>
        </is>
      </c>
      <c r="Q180" s="25" t="inlineStr">
        <is>
          <t>Take</t>
        </is>
      </c>
      <c r="R180" s="25" t="inlineStr">
        <is>
          <t>Take</t>
        </is>
      </c>
      <c r="S180" s="25" t="inlineStr">
        <is>
          <t>79ec20</t>
        </is>
      </c>
    </row>
    <row r="181">
      <c r="A181" s="30" t="n">
        <v>46317.79513888889</v>
      </c>
      <c r="B181" s="12" t="inlineStr">
        <is>
          <t>Uber</t>
        </is>
      </c>
      <c r="C181" s="31" t="n">
        <v>1.9</v>
      </c>
      <c r="D181" s="22" t="n">
        <v>7</v>
      </c>
      <c r="E181" s="31" t="n">
        <v>3.69</v>
      </c>
      <c r="F181" s="22" t="n">
        <v>12.5</v>
      </c>
      <c r="G181" s="32" t="n">
        <v>8.99</v>
      </c>
      <c r="H181" s="33">
        <f>IFERROR(G181/(C181+E181),0)</f>
        <v/>
      </c>
      <c r="I181" s="33">
        <f>IFERROR((G181-(C181+E181)*Assumptions!$B$13)/((D181+F181)/60),0)</f>
        <v/>
      </c>
      <c r="J181" s="12" t="inlineStr">
        <is>
          <t>Took</t>
        </is>
      </c>
      <c r="K181" s="32" t="n">
        <v>3.78</v>
      </c>
      <c r="L181" s="32" t="n">
        <v>3.25</v>
      </c>
      <c r="M181" s="33">
        <f>IF(J181="Took",L181,ROUND(G181*(1+Assumptions!$B$14)-(C181+E181)*Assumptions!$B$13,2))</f>
        <v/>
      </c>
      <c r="N181" s="12" t="inlineStr">
        <is>
          <t>Take</t>
        </is>
      </c>
      <c r="O181" s="12" t="inlineStr">
        <is>
          <t>Take</t>
        </is>
      </c>
      <c r="P181" s="12" t="inlineStr">
        <is>
          <t>Take</t>
        </is>
      </c>
      <c r="Q181" s="12" t="inlineStr">
        <is>
          <t>Take</t>
        </is>
      </c>
      <c r="R181" s="12" t="inlineStr">
        <is>
          <t>Take</t>
        </is>
      </c>
      <c r="S181" s="12" t="inlineStr">
        <is>
          <t>efcfc9</t>
        </is>
      </c>
    </row>
    <row r="182">
      <c r="A182" s="24" t="n">
        <v>46317.84513888889</v>
      </c>
      <c r="B182" s="25" t="inlineStr">
        <is>
          <t>Lyft</t>
        </is>
      </c>
      <c r="C182" s="26" t="n">
        <v>3.56</v>
      </c>
      <c r="D182" s="27" t="n">
        <v>11.3</v>
      </c>
      <c r="E182" s="26" t="n">
        <v>22.2</v>
      </c>
      <c r="F182" s="27" t="n">
        <v>51.9</v>
      </c>
      <c r="G182" s="28" t="n">
        <v>40.33</v>
      </c>
      <c r="H182" s="29">
        <f>IFERROR(G182/(C182+E182),0)</f>
        <v/>
      </c>
      <c r="I182" s="29">
        <f>IFERROR((G182-(C182+E182)*Assumptions!$B$13)/((D182+F182)/60),0)</f>
        <v/>
      </c>
      <c r="J182" s="25" t="inlineStr">
        <is>
          <t>Passed</t>
        </is>
      </c>
      <c r="K182" s="29" t="n"/>
      <c r="L182" s="29" t="n"/>
      <c r="M182" s="29">
        <f>IF(J182="Took",L182,ROUND(G182*(1+Assumptions!$B$14)-(C182+E182)*Assumptions!$B$13,2))</f>
        <v/>
      </c>
      <c r="N182" s="25" t="inlineStr">
        <is>
          <t>Skip</t>
        </is>
      </c>
      <c r="O182" s="25" t="inlineStr">
        <is>
          <t>Skip</t>
        </is>
      </c>
      <c r="P182" s="25" t="inlineStr">
        <is>
          <t>Busy</t>
        </is>
      </c>
      <c r="Q182" s="25" t="inlineStr">
        <is>
          <t>Busy</t>
        </is>
      </c>
      <c r="R182" s="25" t="inlineStr">
        <is>
          <t>Busy</t>
        </is>
      </c>
      <c r="S182" s="25" t="inlineStr">
        <is>
          <t>af8cf7</t>
        </is>
      </c>
    </row>
    <row r="183">
      <c r="A183" s="30" t="n">
        <v>46317.85138888889</v>
      </c>
      <c r="B183" s="12" t="inlineStr">
        <is>
          <t>Uber</t>
        </is>
      </c>
      <c r="C183" s="31" t="n">
        <v>1.07</v>
      </c>
      <c r="D183" s="22" t="n">
        <v>3.8</v>
      </c>
      <c r="E183" s="31" t="n">
        <v>18.56</v>
      </c>
      <c r="F183" s="22" t="n">
        <v>45.1</v>
      </c>
      <c r="G183" s="32" t="n">
        <v>43.67</v>
      </c>
      <c r="H183" s="33">
        <f>IFERROR(G183/(C183+E183),0)</f>
        <v/>
      </c>
      <c r="I183" s="33">
        <f>IFERROR((G183-(C183+E183)*Assumptions!$B$13)/((D183+F183)/60),0)</f>
        <v/>
      </c>
      <c r="J183" s="12" t="inlineStr">
        <is>
          <t>Took</t>
        </is>
      </c>
      <c r="K183" s="32" t="n">
        <v>46.66</v>
      </c>
      <c r="L183" s="32" t="n">
        <v>41.17</v>
      </c>
      <c r="M183" s="33">
        <f>IF(J183="Took",L183,ROUND(G183*(1+Assumptions!$B$14)-(C183+E183)*Assumptions!$B$13,2))</f>
        <v/>
      </c>
      <c r="N183" s="12" t="inlineStr">
        <is>
          <t>Take</t>
        </is>
      </c>
      <c r="O183" s="12" t="inlineStr">
        <is>
          <t>Take</t>
        </is>
      </c>
      <c r="P183" s="12" t="inlineStr">
        <is>
          <t>Take</t>
        </is>
      </c>
      <c r="Q183" s="12" t="inlineStr">
        <is>
          <t>Take</t>
        </is>
      </c>
      <c r="R183" s="12" t="inlineStr">
        <is>
          <t>Take</t>
        </is>
      </c>
      <c r="S183" s="12" t="inlineStr">
        <is>
          <t>80ed8d</t>
        </is>
      </c>
    </row>
    <row r="184">
      <c r="A184" s="24" t="n">
        <v>46317.86805555555</v>
      </c>
      <c r="B184" s="25" t="inlineStr">
        <is>
          <t>Lyft</t>
        </is>
      </c>
      <c r="C184" s="26" t="n">
        <v>1.91</v>
      </c>
      <c r="D184" s="27" t="n">
        <v>7</v>
      </c>
      <c r="E184" s="26" t="n">
        <v>13.27</v>
      </c>
      <c r="F184" s="27" t="n">
        <v>35.4</v>
      </c>
      <c r="G184" s="28" t="n">
        <v>24.88</v>
      </c>
      <c r="H184" s="29">
        <f>IFERROR(G184/(C184+E184),0)</f>
        <v/>
      </c>
      <c r="I184" s="29">
        <f>IFERROR((G184-(C184+E184)*Assumptions!$B$13)/((D184+F184)/60),0)</f>
        <v/>
      </c>
      <c r="J184" s="25" t="inlineStr">
        <is>
          <t>Passed</t>
        </is>
      </c>
      <c r="K184" s="29" t="n"/>
      <c r="L184" s="29" t="n"/>
      <c r="M184" s="29">
        <f>IF(J184="Took",L184,ROUND(G184*(1+Assumptions!$B$14)-(C184+E184)*Assumptions!$B$13,2))</f>
        <v/>
      </c>
      <c r="N184" s="25" t="inlineStr">
        <is>
          <t>Busy</t>
        </is>
      </c>
      <c r="O184" s="25" t="inlineStr">
        <is>
          <t>Busy</t>
        </is>
      </c>
      <c r="P184" s="25" t="inlineStr">
        <is>
          <t>Busy</t>
        </is>
      </c>
      <c r="Q184" s="25" t="inlineStr">
        <is>
          <t>Busy</t>
        </is>
      </c>
      <c r="R184" s="25" t="inlineStr">
        <is>
          <t>Busy</t>
        </is>
      </c>
      <c r="S184" s="25" t="inlineStr">
        <is>
          <t>448152</t>
        </is>
      </c>
    </row>
    <row r="185">
      <c r="A185" s="30" t="n">
        <v>46317.88055555556</v>
      </c>
      <c r="B185" s="12" t="inlineStr">
        <is>
          <t>Lyft</t>
        </is>
      </c>
      <c r="C185" s="31" t="n">
        <v>0.5</v>
      </c>
      <c r="D185" s="22" t="n">
        <v>4.2</v>
      </c>
      <c r="E185" s="31" t="n">
        <v>25.53</v>
      </c>
      <c r="F185" s="22" t="n">
        <v>62.2</v>
      </c>
      <c r="G185" s="32" t="n">
        <v>21.19</v>
      </c>
      <c r="H185" s="33">
        <f>IFERROR(G185/(C185+E185),0)</f>
        <v/>
      </c>
      <c r="I185" s="33">
        <f>IFERROR((G185-(C185+E185)*Assumptions!$B$13)/((D185+F185)/60),0)</f>
        <v/>
      </c>
      <c r="J185" s="12" t="inlineStr">
        <is>
          <t>Took</t>
        </is>
      </c>
      <c r="K185" s="32" t="n">
        <v>23.72</v>
      </c>
      <c r="L185" s="32" t="n">
        <v>16.37</v>
      </c>
      <c r="M185" s="33">
        <f>IF(J185="Took",L185,ROUND(G185*(1+Assumptions!$B$14)-(C185+E185)*Assumptions!$B$13,2))</f>
        <v/>
      </c>
      <c r="N185" s="12" t="inlineStr">
        <is>
          <t>Take</t>
        </is>
      </c>
      <c r="O185" s="12" t="inlineStr">
        <is>
          <t>Take</t>
        </is>
      </c>
      <c r="P185" s="12" t="inlineStr">
        <is>
          <t>Skip</t>
        </is>
      </c>
      <c r="Q185" s="12" t="inlineStr">
        <is>
          <t>Skip</t>
        </is>
      </c>
      <c r="R185" s="12" t="inlineStr">
        <is>
          <t>Take</t>
        </is>
      </c>
      <c r="S185" s="12" t="inlineStr">
        <is>
          <t>113899</t>
        </is>
      </c>
    </row>
    <row r="186">
      <c r="A186" s="24" t="n">
        <v>46319.29583333333</v>
      </c>
      <c r="B186" s="25" t="inlineStr">
        <is>
          <t>Uber</t>
        </is>
      </c>
      <c r="C186" s="26" t="n">
        <v>1.64</v>
      </c>
      <c r="D186" s="27" t="n">
        <v>5.4</v>
      </c>
      <c r="E186" s="26" t="n">
        <v>10.52</v>
      </c>
      <c r="F186" s="27" t="n">
        <v>26.2</v>
      </c>
      <c r="G186" s="28" t="n">
        <v>13.3</v>
      </c>
      <c r="H186" s="29">
        <f>IFERROR(G186/(C186+E186),0)</f>
        <v/>
      </c>
      <c r="I186" s="29">
        <f>IFERROR((G186-(C186+E186)*Assumptions!$B$13)/((D186+F186)/60),0)</f>
        <v/>
      </c>
      <c r="J186" s="25" t="inlineStr">
        <is>
          <t>Took</t>
        </is>
      </c>
      <c r="K186" s="28" t="n">
        <v>13.3</v>
      </c>
      <c r="L186" s="28" t="n">
        <v>9.91</v>
      </c>
      <c r="M186" s="29">
        <f>IF(J186="Took",L186,ROUND(G186*(1+Assumptions!$B$14)-(C186+E186)*Assumptions!$B$13,2))</f>
        <v/>
      </c>
      <c r="N186" s="25" t="inlineStr">
        <is>
          <t>Take</t>
        </is>
      </c>
      <c r="O186" s="25" t="inlineStr">
        <is>
          <t>Take</t>
        </is>
      </c>
      <c r="P186" s="25" t="inlineStr">
        <is>
          <t>Take</t>
        </is>
      </c>
      <c r="Q186" s="25" t="inlineStr">
        <is>
          <t>Skip</t>
        </is>
      </c>
      <c r="R186" s="25" t="inlineStr">
        <is>
          <t>Take</t>
        </is>
      </c>
      <c r="S186" s="25" t="inlineStr">
        <is>
          <t>6aa22c</t>
        </is>
      </c>
    </row>
    <row r="187">
      <c r="A187" s="30" t="n">
        <v>46319.48055555556</v>
      </c>
      <c r="B187" s="12" t="inlineStr">
        <is>
          <t>Uber</t>
        </is>
      </c>
      <c r="C187" s="31" t="n">
        <v>0.86</v>
      </c>
      <c r="D187" s="22" t="n">
        <v>4.8</v>
      </c>
      <c r="E187" s="31" t="n">
        <v>5.34</v>
      </c>
      <c r="F187" s="22" t="n">
        <v>16.3</v>
      </c>
      <c r="G187" s="32" t="n">
        <v>11.72</v>
      </c>
      <c r="H187" s="33">
        <f>IFERROR(G187/(C187+E187),0)</f>
        <v/>
      </c>
      <c r="I187" s="33">
        <f>IFERROR((G187-(C187+E187)*Assumptions!$B$13)/((D187+F187)/60),0)</f>
        <v/>
      </c>
      <c r="J187" s="12" t="inlineStr">
        <is>
          <t>Took</t>
        </is>
      </c>
      <c r="K187" s="32" t="n">
        <v>4.72</v>
      </c>
      <c r="L187" s="32" t="n">
        <v>4.48</v>
      </c>
      <c r="M187" s="33">
        <f>IF(J187="Took",L187,ROUND(G187*(1+Assumptions!$B$14)-(C187+E187)*Assumptions!$B$13,2))</f>
        <v/>
      </c>
      <c r="N187" s="12" t="inlineStr">
        <is>
          <t>Take</t>
        </is>
      </c>
      <c r="O187" s="12" t="inlineStr">
        <is>
          <t>Take</t>
        </is>
      </c>
      <c r="P187" s="12" t="inlineStr">
        <is>
          <t>Take</t>
        </is>
      </c>
      <c r="Q187" s="12" t="inlineStr">
        <is>
          <t>Take</t>
        </is>
      </c>
      <c r="R187" s="12" t="inlineStr">
        <is>
          <t>Take</t>
        </is>
      </c>
      <c r="S187" s="12" t="inlineStr">
        <is>
          <t>cc75c7</t>
        </is>
      </c>
    </row>
    <row r="188">
      <c r="A188" s="24" t="n">
        <v>46319.68333333333</v>
      </c>
      <c r="B188" s="25" t="inlineStr">
        <is>
          <t>Uber</t>
        </is>
      </c>
      <c r="C188" s="26" t="n">
        <v>1.35</v>
      </c>
      <c r="D188" s="27" t="n">
        <v>6.1</v>
      </c>
      <c r="E188" s="26" t="n">
        <v>12.43</v>
      </c>
      <c r="F188" s="27" t="n">
        <v>37.3</v>
      </c>
      <c r="G188" s="28" t="n">
        <v>21.19</v>
      </c>
      <c r="H188" s="29">
        <f>IFERROR(G188/(C188+E188),0)</f>
        <v/>
      </c>
      <c r="I188" s="29">
        <f>IFERROR((G188-(C188+E188)*Assumptions!$B$13)/((D188+F188)/60),0)</f>
        <v/>
      </c>
      <c r="J188" s="25" t="inlineStr">
        <is>
          <t>Took</t>
        </is>
      </c>
      <c r="K188" s="28" t="n">
        <v>21.19</v>
      </c>
      <c r="L188" s="28" t="n">
        <v>17.32</v>
      </c>
      <c r="M188" s="29">
        <f>IF(J188="Took",L188,ROUND(G188*(1+Assumptions!$B$14)-(C188+E188)*Assumptions!$B$13,2))</f>
        <v/>
      </c>
      <c r="N188" s="25" t="inlineStr">
        <is>
          <t>Take</t>
        </is>
      </c>
      <c r="O188" s="25" t="inlineStr">
        <is>
          <t>Take</t>
        </is>
      </c>
      <c r="P188" s="25" t="inlineStr">
        <is>
          <t>Take</t>
        </is>
      </c>
      <c r="Q188" s="25" t="inlineStr">
        <is>
          <t>Take</t>
        </is>
      </c>
      <c r="R188" s="25" t="inlineStr">
        <is>
          <t>Take</t>
        </is>
      </c>
      <c r="S188" s="25" t="inlineStr">
        <is>
          <t>6be0af</t>
        </is>
      </c>
    </row>
    <row r="189">
      <c r="A189" s="30" t="n">
        <v>46319.70486111111</v>
      </c>
      <c r="B189" s="12" t="inlineStr">
        <is>
          <t>Uber</t>
        </is>
      </c>
      <c r="C189" s="31" t="n">
        <v>3.51</v>
      </c>
      <c r="D189" s="22" t="n">
        <v>11.1</v>
      </c>
      <c r="E189" s="31" t="n">
        <v>13.86</v>
      </c>
      <c r="F189" s="22" t="n">
        <v>34.5</v>
      </c>
      <c r="G189" s="32" t="n">
        <v>27.02</v>
      </c>
      <c r="H189" s="33">
        <f>IFERROR(G189/(C189+E189),0)</f>
        <v/>
      </c>
      <c r="I189" s="33">
        <f>IFERROR((G189-(C189+E189)*Assumptions!$B$13)/((D189+F189)/60),0)</f>
        <v/>
      </c>
      <c r="J189" s="12" t="inlineStr">
        <is>
          <t>Passed</t>
        </is>
      </c>
      <c r="K189" s="33" t="n"/>
      <c r="L189" s="33" t="n"/>
      <c r="M189" s="33">
        <f>IF(J189="Took",L189,ROUND(G189*(1+Assumptions!$B$14)-(C189+E189)*Assumptions!$B$13,2))</f>
        <v/>
      </c>
      <c r="N189" s="12" t="inlineStr">
        <is>
          <t>Skip</t>
        </is>
      </c>
      <c r="O189" s="12" t="inlineStr">
        <is>
          <t>Skip</t>
        </is>
      </c>
      <c r="P189" s="12" t="inlineStr">
        <is>
          <t>Busy</t>
        </is>
      </c>
      <c r="Q189" s="12" t="inlineStr">
        <is>
          <t>Busy</t>
        </is>
      </c>
      <c r="R189" s="12" t="inlineStr">
        <is>
          <t>Busy</t>
        </is>
      </c>
      <c r="S189" s="12" t="inlineStr">
        <is>
          <t>5b45fa</t>
        </is>
      </c>
    </row>
    <row r="190">
      <c r="A190" s="24" t="n">
        <v>46319.70763888889</v>
      </c>
      <c r="B190" s="25" t="inlineStr">
        <is>
          <t>Uber</t>
        </is>
      </c>
      <c r="C190" s="26" t="n">
        <v>4.29</v>
      </c>
      <c r="D190" s="27" t="n">
        <v>13.6</v>
      </c>
      <c r="E190" s="26" t="n">
        <v>2.12</v>
      </c>
      <c r="F190" s="27" t="n">
        <v>10.6</v>
      </c>
      <c r="G190" s="28" t="n">
        <v>23.64</v>
      </c>
      <c r="H190" s="29">
        <f>IFERROR(G190/(C190+E190),0)</f>
        <v/>
      </c>
      <c r="I190" s="29">
        <f>IFERROR((G190-(C190+E190)*Assumptions!$B$13)/((D190+F190)/60),0)</f>
        <v/>
      </c>
      <c r="J190" s="25" t="inlineStr">
        <is>
          <t>Took</t>
        </is>
      </c>
      <c r="K190" s="28" t="n">
        <v>23.64</v>
      </c>
      <c r="L190" s="28" t="n">
        <v>21.84</v>
      </c>
      <c r="M190" s="29">
        <f>IF(J190="Took",L190,ROUND(G190*(1+Assumptions!$B$14)-(C190+E190)*Assumptions!$B$13,2))</f>
        <v/>
      </c>
      <c r="N190" s="25" t="inlineStr">
        <is>
          <t>Skip</t>
        </is>
      </c>
      <c r="O190" s="25" t="inlineStr">
        <is>
          <t>Skip</t>
        </is>
      </c>
      <c r="P190" s="25" t="inlineStr">
        <is>
          <t>Take</t>
        </is>
      </c>
      <c r="Q190" s="25" t="inlineStr">
        <is>
          <t>Take</t>
        </is>
      </c>
      <c r="R190" s="25" t="inlineStr">
        <is>
          <t>Take</t>
        </is>
      </c>
      <c r="S190" s="25" t="inlineStr">
        <is>
          <t>2e79a1</t>
        </is>
      </c>
    </row>
    <row r="191">
      <c r="A191" s="30" t="n">
        <v>46319.74444444444</v>
      </c>
      <c r="B191" s="12" t="inlineStr">
        <is>
          <t>Lyft</t>
        </is>
      </c>
      <c r="C191" s="31" t="n">
        <v>0.86</v>
      </c>
      <c r="D191" s="22" t="n">
        <v>4.2</v>
      </c>
      <c r="E191" s="31" t="n">
        <v>7.96</v>
      </c>
      <c r="F191" s="22" t="n">
        <v>20.9</v>
      </c>
      <c r="G191" s="32" t="n">
        <v>16.13</v>
      </c>
      <c r="H191" s="33">
        <f>IFERROR(G191/(C191+E191),0)</f>
        <v/>
      </c>
      <c r="I191" s="33">
        <f>IFERROR((G191-(C191+E191)*Assumptions!$B$13)/((D191+F191)/60),0)</f>
        <v/>
      </c>
      <c r="J191" s="12" t="inlineStr">
        <is>
          <t>Passed</t>
        </is>
      </c>
      <c r="K191" s="33" t="n"/>
      <c r="L191" s="33" t="n"/>
      <c r="M191" s="33">
        <f>IF(J191="Took",L191,ROUND(G191*(1+Assumptions!$B$14)-(C191+E191)*Assumptions!$B$13,2))</f>
        <v/>
      </c>
      <c r="N191" s="12" t="inlineStr">
        <is>
          <t>Busy</t>
        </is>
      </c>
      <c r="O191" s="12" t="inlineStr">
        <is>
          <t>Take</t>
        </is>
      </c>
      <c r="P191" s="12" t="inlineStr">
        <is>
          <t>Busy</t>
        </is>
      </c>
      <c r="Q191" s="12" t="inlineStr">
        <is>
          <t>Busy</t>
        </is>
      </c>
      <c r="R191" s="12" t="inlineStr">
        <is>
          <t>Busy</t>
        </is>
      </c>
      <c r="S191" s="12" t="inlineStr">
        <is>
          <t>f1cc1a</t>
        </is>
      </c>
    </row>
    <row r="192">
      <c r="A192" s="24" t="n">
        <v>46319.75069444445</v>
      </c>
      <c r="B192" s="25" t="inlineStr">
        <is>
          <t>Uber</t>
        </is>
      </c>
      <c r="C192" s="26" t="n">
        <v>2.11</v>
      </c>
      <c r="D192" s="27" t="n">
        <v>8.4</v>
      </c>
      <c r="E192" s="26" t="n">
        <v>5.44</v>
      </c>
      <c r="F192" s="27" t="n">
        <v>21.4</v>
      </c>
      <c r="G192" s="28" t="n">
        <v>18.8</v>
      </c>
      <c r="H192" s="29">
        <f>IFERROR(G192/(C192+E192),0)</f>
        <v/>
      </c>
      <c r="I192" s="29">
        <f>IFERROR((G192-(C192+E192)*Assumptions!$B$13)/((D192+F192)/60),0)</f>
        <v/>
      </c>
      <c r="J192" s="25" t="inlineStr">
        <is>
          <t>Took</t>
        </is>
      </c>
      <c r="K192" s="28" t="n">
        <v>28.5</v>
      </c>
      <c r="L192" s="28" t="n">
        <v>26.36</v>
      </c>
      <c r="M192" s="29">
        <f>IF(J192="Took",L192,ROUND(G192*(1+Assumptions!$B$14)-(C192+E192)*Assumptions!$B$13,2))</f>
        <v/>
      </c>
      <c r="N192" s="25" t="inlineStr">
        <is>
          <t>Take</t>
        </is>
      </c>
      <c r="O192" s="25" t="inlineStr">
        <is>
          <t>Skip</t>
        </is>
      </c>
      <c r="P192" s="25" t="inlineStr">
        <is>
          <t>Take</t>
        </is>
      </c>
      <c r="Q192" s="25" t="inlineStr">
        <is>
          <t>Take</t>
        </is>
      </c>
      <c r="R192" s="25" t="inlineStr">
        <is>
          <t>Take</t>
        </is>
      </c>
      <c r="S192" s="25" t="inlineStr">
        <is>
          <t>67f84a</t>
        </is>
      </c>
    </row>
    <row r="193">
      <c r="A193" s="30" t="n">
        <v>46319.82708333333</v>
      </c>
      <c r="B193" s="12" t="inlineStr">
        <is>
          <t>Uber</t>
        </is>
      </c>
      <c r="C193" s="31" t="n">
        <v>3.4</v>
      </c>
      <c r="D193" s="22" t="n">
        <v>10.8</v>
      </c>
      <c r="E193" s="31" t="n">
        <v>21.41</v>
      </c>
      <c r="F193" s="22" t="n">
        <v>54.3</v>
      </c>
      <c r="G193" s="32" t="n">
        <v>38.84</v>
      </c>
      <c r="H193" s="33">
        <f>IFERROR(G193/(C193+E193),0)</f>
        <v/>
      </c>
      <c r="I193" s="33">
        <f>IFERROR((G193-(C193+E193)*Assumptions!$B$13)/((D193+F193)/60),0)</f>
        <v/>
      </c>
      <c r="J193" s="12" t="inlineStr">
        <is>
          <t>Passed</t>
        </is>
      </c>
      <c r="K193" s="33" t="n"/>
      <c r="L193" s="33" t="n"/>
      <c r="M193" s="33">
        <f>IF(J193="Took",L193,ROUND(G193*(1+Assumptions!$B$14)-(C193+E193)*Assumptions!$B$13,2))</f>
        <v/>
      </c>
      <c r="N193" s="12" t="inlineStr">
        <is>
          <t>Skip</t>
        </is>
      </c>
      <c r="O193" s="12" t="inlineStr">
        <is>
          <t>Skip</t>
        </is>
      </c>
      <c r="P193" s="12" t="inlineStr">
        <is>
          <t>Busy</t>
        </is>
      </c>
      <c r="Q193" s="12" t="inlineStr">
        <is>
          <t>Busy</t>
        </is>
      </c>
      <c r="R193" s="12" t="inlineStr">
        <is>
          <t>Busy</t>
        </is>
      </c>
      <c r="S193" s="12" t="inlineStr">
        <is>
          <t>439b02</t>
        </is>
      </c>
    </row>
    <row r="194">
      <c r="A194" s="24" t="n">
        <v>46319.83680555555</v>
      </c>
      <c r="B194" s="25" t="inlineStr">
        <is>
          <t>Uber</t>
        </is>
      </c>
      <c r="C194" s="26" t="n">
        <v>2.4</v>
      </c>
      <c r="D194" s="27" t="n">
        <v>8.199999999999999</v>
      </c>
      <c r="E194" s="26" t="n">
        <v>7.02</v>
      </c>
      <c r="F194" s="27" t="n">
        <v>19.3</v>
      </c>
      <c r="G194" s="28" t="n">
        <v>19.97</v>
      </c>
      <c r="H194" s="29">
        <f>IFERROR(G194/(C194+E194),0)</f>
        <v/>
      </c>
      <c r="I194" s="29">
        <f>IFERROR((G194-(C194+E194)*Assumptions!$B$13)/((D194+F194)/60),0)</f>
        <v/>
      </c>
      <c r="J194" s="25" t="inlineStr">
        <is>
          <t>Took</t>
        </is>
      </c>
      <c r="K194" s="28" t="n">
        <v>23.05</v>
      </c>
      <c r="L194" s="28" t="n">
        <v>20.41</v>
      </c>
      <c r="M194" s="29">
        <f>IF(J194="Took",L194,ROUND(G194*(1+Assumptions!$B$14)-(C194+E194)*Assumptions!$B$13,2))</f>
        <v/>
      </c>
      <c r="N194" s="25" t="inlineStr">
        <is>
          <t>Take</t>
        </is>
      </c>
      <c r="O194" s="25" t="inlineStr">
        <is>
          <t>Skip</t>
        </is>
      </c>
      <c r="P194" s="25" t="inlineStr">
        <is>
          <t>Take</t>
        </is>
      </c>
      <c r="Q194" s="25" t="inlineStr">
        <is>
          <t>Take</t>
        </is>
      </c>
      <c r="R194" s="25" t="inlineStr">
        <is>
          <t>Take</t>
        </is>
      </c>
      <c r="S194" s="25" t="inlineStr">
        <is>
          <t>385dbe</t>
        </is>
      </c>
    </row>
    <row r="195">
      <c r="A195" s="30" t="n">
        <v>46319.83680555555</v>
      </c>
      <c r="B195" s="12" t="inlineStr">
        <is>
          <t>Uber</t>
        </is>
      </c>
      <c r="C195" s="31" t="n">
        <v>1.84</v>
      </c>
      <c r="D195" s="22" t="n">
        <v>6.8</v>
      </c>
      <c r="E195" s="31" t="n">
        <v>17.86</v>
      </c>
      <c r="F195" s="22" t="n">
        <v>45.7</v>
      </c>
      <c r="G195" s="32" t="n">
        <v>34.2</v>
      </c>
      <c r="H195" s="33">
        <f>IFERROR(G195/(C195+E195),0)</f>
        <v/>
      </c>
      <c r="I195" s="33">
        <f>IFERROR((G195-(C195+E195)*Assumptions!$B$13)/((D195+F195)/60),0)</f>
        <v/>
      </c>
      <c r="J195" s="12" t="inlineStr">
        <is>
          <t>Passed</t>
        </is>
      </c>
      <c r="K195" s="33" t="n"/>
      <c r="L195" s="33" t="n"/>
      <c r="M195" s="33">
        <f>IF(J195="Took",L195,ROUND(G195*(1+Assumptions!$B$14)-(C195+E195)*Assumptions!$B$13,2))</f>
        <v/>
      </c>
      <c r="N195" s="12" t="inlineStr">
        <is>
          <t>Busy</t>
        </is>
      </c>
      <c r="O195" s="12" t="inlineStr">
        <is>
          <t>Take</t>
        </is>
      </c>
      <c r="P195" s="12" t="inlineStr">
        <is>
          <t>Busy</t>
        </is>
      </c>
      <c r="Q195" s="12" t="inlineStr">
        <is>
          <t>Busy</t>
        </is>
      </c>
      <c r="R195" s="12" t="inlineStr">
        <is>
          <t>Busy</t>
        </is>
      </c>
      <c r="S195" s="12" t="inlineStr">
        <is>
          <t>c287fd</t>
        </is>
      </c>
    </row>
    <row r="196">
      <c r="A196" s="24" t="n">
        <v>46319.83958333333</v>
      </c>
      <c r="B196" s="25" t="inlineStr">
        <is>
          <t>Uber</t>
        </is>
      </c>
      <c r="C196" s="26" t="n">
        <v>3.93</v>
      </c>
      <c r="D196" s="27" t="n">
        <v>13.2</v>
      </c>
      <c r="E196" s="26" t="n">
        <v>2.02</v>
      </c>
      <c r="F196" s="27" t="n">
        <v>8.800000000000001</v>
      </c>
      <c r="G196" s="28" t="n">
        <v>12.58</v>
      </c>
      <c r="H196" s="29">
        <f>IFERROR(G196/(C196+E196),0)</f>
        <v/>
      </c>
      <c r="I196" s="29">
        <f>IFERROR((G196-(C196+E196)*Assumptions!$B$13)/((D196+F196)/60),0)</f>
        <v/>
      </c>
      <c r="J196" s="25" t="inlineStr">
        <is>
          <t>Took</t>
        </is>
      </c>
      <c r="K196" s="28" t="n">
        <v>20.64</v>
      </c>
      <c r="L196" s="28" t="n">
        <v>18.97</v>
      </c>
      <c r="M196" s="29">
        <f>IF(J196="Took",L196,ROUND(G196*(1+Assumptions!$B$14)-(C196+E196)*Assumptions!$B$13,2))</f>
        <v/>
      </c>
      <c r="N196" s="25" t="inlineStr">
        <is>
          <t>Skip</t>
        </is>
      </c>
      <c r="O196" s="25" t="inlineStr">
        <is>
          <t>Skip</t>
        </is>
      </c>
      <c r="P196" s="25" t="inlineStr">
        <is>
          <t>Take</t>
        </is>
      </c>
      <c r="Q196" s="25" t="inlineStr">
        <is>
          <t>Take</t>
        </is>
      </c>
      <c r="R196" s="25" t="inlineStr">
        <is>
          <t>Take</t>
        </is>
      </c>
      <c r="S196" s="25" t="inlineStr">
        <is>
          <t>bba164</t>
        </is>
      </c>
    </row>
    <row r="197">
      <c r="A197" s="30" t="n">
        <v>46320.30277777778</v>
      </c>
      <c r="B197" s="12" t="inlineStr">
        <is>
          <t>Uber</t>
        </is>
      </c>
      <c r="C197" s="31" t="n">
        <v>0.88</v>
      </c>
      <c r="D197" s="22" t="n">
        <v>4.3</v>
      </c>
      <c r="E197" s="31" t="n">
        <v>9.51</v>
      </c>
      <c r="F197" s="22" t="n">
        <v>27.2</v>
      </c>
      <c r="G197" s="32" t="n">
        <v>19.02</v>
      </c>
      <c r="H197" s="33">
        <f>IFERROR(G197/(C197+E197),0)</f>
        <v/>
      </c>
      <c r="I197" s="33">
        <f>IFERROR((G197-(C197+E197)*Assumptions!$B$13)/((D197+F197)/60),0)</f>
        <v/>
      </c>
      <c r="J197" s="12" t="inlineStr">
        <is>
          <t>Passed</t>
        </is>
      </c>
      <c r="K197" s="33" t="n"/>
      <c r="L197" s="33" t="n"/>
      <c r="M197" s="33">
        <f>IF(J197="Took",L197,ROUND(G197*(1+Assumptions!$B$14)-(C197+E197)*Assumptions!$B$13,2))</f>
        <v/>
      </c>
      <c r="N197" s="12" t="inlineStr">
        <is>
          <t>Busy</t>
        </is>
      </c>
      <c r="O197" s="12" t="inlineStr">
        <is>
          <t>Busy</t>
        </is>
      </c>
      <c r="P197" s="12" t="inlineStr">
        <is>
          <t>Busy</t>
        </is>
      </c>
      <c r="Q197" s="12" t="inlineStr">
        <is>
          <t>Busy</t>
        </is>
      </c>
      <c r="R197" s="12" t="inlineStr">
        <is>
          <t>Busy</t>
        </is>
      </c>
      <c r="S197" s="12" t="inlineStr">
        <is>
          <t>69762d</t>
        </is>
      </c>
    </row>
    <row r="198">
      <c r="A198" s="24" t="n">
        <v>46320.31527777778</v>
      </c>
      <c r="B198" s="25" t="inlineStr">
        <is>
          <t>Uber</t>
        </is>
      </c>
      <c r="C198" s="26" t="n">
        <v>0.88</v>
      </c>
      <c r="D198" s="27" t="n">
        <v>4</v>
      </c>
      <c r="E198" s="26" t="n">
        <v>13.01</v>
      </c>
      <c r="F198" s="27" t="n">
        <v>32.7</v>
      </c>
      <c r="G198" s="28" t="n">
        <v>16.95</v>
      </c>
      <c r="H198" s="29">
        <f>IFERROR(G198/(C198+E198),0)</f>
        <v/>
      </c>
      <c r="I198" s="29">
        <f>IFERROR((G198-(C198+E198)*Assumptions!$B$13)/((D198+F198)/60),0)</f>
        <v/>
      </c>
      <c r="J198" s="25" t="inlineStr">
        <is>
          <t>Took</t>
        </is>
      </c>
      <c r="K198" s="28" t="n">
        <v>16.95</v>
      </c>
      <c r="L198" s="28" t="n">
        <v>13.06</v>
      </c>
      <c r="M198" s="29">
        <f>IF(J198="Took",L198,ROUND(G198*(1+Assumptions!$B$14)-(C198+E198)*Assumptions!$B$13,2))</f>
        <v/>
      </c>
      <c r="N198" s="25" t="inlineStr">
        <is>
          <t>Take</t>
        </is>
      </c>
      <c r="O198" s="25" t="inlineStr">
        <is>
          <t>Take</t>
        </is>
      </c>
      <c r="P198" s="25" t="inlineStr">
        <is>
          <t>Take</t>
        </is>
      </c>
      <c r="Q198" s="25" t="inlineStr">
        <is>
          <t>Take</t>
        </is>
      </c>
      <c r="R198" s="25" t="inlineStr">
        <is>
          <t>Take</t>
        </is>
      </c>
      <c r="S198" s="25" t="inlineStr">
        <is>
          <t>3e058d</t>
        </is>
      </c>
    </row>
    <row r="199">
      <c r="A199" s="30" t="n">
        <v>46320.33402777778</v>
      </c>
      <c r="B199" s="12" t="inlineStr">
        <is>
          <t>Uber</t>
        </is>
      </c>
      <c r="C199" s="31" t="n">
        <v>5.17</v>
      </c>
      <c r="D199" s="22" t="n">
        <v>15.4</v>
      </c>
      <c r="E199" s="31" t="n">
        <v>2.66</v>
      </c>
      <c r="F199" s="22" t="n">
        <v>9.9</v>
      </c>
      <c r="G199" s="32" t="n">
        <v>6.71</v>
      </c>
      <c r="H199" s="33">
        <f>IFERROR(G199/(C199+E199),0)</f>
        <v/>
      </c>
      <c r="I199" s="33">
        <f>IFERROR((G199-(C199+E199)*Assumptions!$B$13)/((D199+F199)/60),0)</f>
        <v/>
      </c>
      <c r="J199" s="12" t="inlineStr">
        <is>
          <t>Passed</t>
        </is>
      </c>
      <c r="K199" s="33" t="n"/>
      <c r="L199" s="33" t="n"/>
      <c r="M199" s="33">
        <f>IF(J199="Took",L199,ROUND(G199*(1+Assumptions!$B$14)-(C199+E199)*Assumptions!$B$13,2))</f>
        <v/>
      </c>
      <c r="N199" s="12" t="inlineStr">
        <is>
          <t>Skip</t>
        </is>
      </c>
      <c r="O199" s="12" t="inlineStr">
        <is>
          <t>Skip</t>
        </is>
      </c>
      <c r="P199" s="12" t="inlineStr">
        <is>
          <t>Skip</t>
        </is>
      </c>
      <c r="Q199" s="12" t="inlineStr">
        <is>
          <t>Skip</t>
        </is>
      </c>
      <c r="R199" s="12" t="inlineStr">
        <is>
          <t>Busy</t>
        </is>
      </c>
      <c r="S199" s="12" t="inlineStr">
        <is>
          <t>7aefad</t>
        </is>
      </c>
    </row>
    <row r="200">
      <c r="A200" s="24" t="n">
        <v>46320.34583333333</v>
      </c>
      <c r="B200" s="25" t="inlineStr">
        <is>
          <t>Uber</t>
        </is>
      </c>
      <c r="C200" s="26" t="n">
        <v>3.51</v>
      </c>
      <c r="D200" s="27" t="n">
        <v>12</v>
      </c>
      <c r="E200" s="26" t="n">
        <v>7.57</v>
      </c>
      <c r="F200" s="27" t="n">
        <v>22.1</v>
      </c>
      <c r="G200" s="28" t="n">
        <v>18.41</v>
      </c>
      <c r="H200" s="29">
        <f>IFERROR(G200/(C200+E200),0)</f>
        <v/>
      </c>
      <c r="I200" s="29">
        <f>IFERROR((G200-(C200+E200)*Assumptions!$B$13)/((D200+F200)/60),0)</f>
        <v/>
      </c>
      <c r="J200" s="25" t="inlineStr">
        <is>
          <t>Took</t>
        </is>
      </c>
      <c r="K200" s="28" t="n">
        <v>18.41</v>
      </c>
      <c r="L200" s="28" t="n">
        <v>15.29</v>
      </c>
      <c r="M200" s="29">
        <f>IF(J200="Took",L200,ROUND(G200*(1+Assumptions!$B$14)-(C200+E200)*Assumptions!$B$13,2))</f>
        <v/>
      </c>
      <c r="N200" s="25" t="inlineStr">
        <is>
          <t>Skip</t>
        </is>
      </c>
      <c r="O200" s="25" t="inlineStr">
        <is>
          <t>Skip</t>
        </is>
      </c>
      <c r="P200" s="25" t="inlineStr">
        <is>
          <t>Take</t>
        </is>
      </c>
      <c r="Q200" s="25" t="inlineStr">
        <is>
          <t>Take</t>
        </is>
      </c>
      <c r="R200" s="25" t="inlineStr">
        <is>
          <t>Take</t>
        </is>
      </c>
      <c r="S200" s="25" t="inlineStr">
        <is>
          <t>8856d0</t>
        </is>
      </c>
    </row>
    <row r="201">
      <c r="A201" s="30" t="n">
        <v>46320.38541666666</v>
      </c>
      <c r="B201" s="12" t="inlineStr">
        <is>
          <t>Lyft</t>
        </is>
      </c>
      <c r="C201" s="31" t="n">
        <v>2.67</v>
      </c>
      <c r="D201" s="22" t="n">
        <v>8.9</v>
      </c>
      <c r="E201" s="31" t="n">
        <v>20.78</v>
      </c>
      <c r="F201" s="22" t="n">
        <v>49.4</v>
      </c>
      <c r="G201" s="32" t="n">
        <v>36.48</v>
      </c>
      <c r="H201" s="33">
        <f>IFERROR(G201/(C201+E201),0)</f>
        <v/>
      </c>
      <c r="I201" s="33">
        <f>IFERROR((G201-(C201+E201)*Assumptions!$B$13)/((D201+F201)/60),0)</f>
        <v/>
      </c>
      <c r="J201" s="12" t="inlineStr">
        <is>
          <t>Passed</t>
        </is>
      </c>
      <c r="K201" s="33" t="n"/>
      <c r="L201" s="33" t="n"/>
      <c r="M201" s="33">
        <f>IF(J201="Took",L201,ROUND(G201*(1+Assumptions!$B$14)-(C201+E201)*Assumptions!$B$13,2))</f>
        <v/>
      </c>
      <c r="N201" s="12" t="inlineStr">
        <is>
          <t>Busy</t>
        </is>
      </c>
      <c r="O201" s="12" t="inlineStr">
        <is>
          <t>Skip</t>
        </is>
      </c>
      <c r="P201" s="12" t="inlineStr">
        <is>
          <t>Busy</t>
        </is>
      </c>
      <c r="Q201" s="12" t="inlineStr">
        <is>
          <t>Busy</t>
        </is>
      </c>
      <c r="R201" s="12" t="inlineStr">
        <is>
          <t>Busy</t>
        </is>
      </c>
      <c r="S201" s="12" t="inlineStr">
        <is>
          <t>eb6489</t>
        </is>
      </c>
    </row>
    <row r="202">
      <c r="A202" s="24" t="n">
        <v>46320.38819444444</v>
      </c>
      <c r="B202" s="25" t="inlineStr">
        <is>
          <t>Lyft</t>
        </is>
      </c>
      <c r="C202" s="26" t="n">
        <v>1.08</v>
      </c>
      <c r="D202" s="27" t="n">
        <v>4.7</v>
      </c>
      <c r="E202" s="26" t="n">
        <v>20.87</v>
      </c>
      <c r="F202" s="27" t="n">
        <v>52.8</v>
      </c>
      <c r="G202" s="28" t="n">
        <v>25.49</v>
      </c>
      <c r="H202" s="29">
        <f>IFERROR(G202/(C202+E202),0)</f>
        <v/>
      </c>
      <c r="I202" s="29">
        <f>IFERROR((G202-(C202+E202)*Assumptions!$B$13)/((D202+F202)/60),0)</f>
        <v/>
      </c>
      <c r="J202" s="25" t="inlineStr">
        <is>
          <t>Took</t>
        </is>
      </c>
      <c r="K202" s="28" t="n">
        <v>30.13</v>
      </c>
      <c r="L202" s="28" t="n">
        <v>23.99</v>
      </c>
      <c r="M202" s="29">
        <f>IF(J202="Took",L202,ROUND(G202*(1+Assumptions!$B$14)-(C202+E202)*Assumptions!$B$13,2))</f>
        <v/>
      </c>
      <c r="N202" s="25" t="inlineStr">
        <is>
          <t>Take</t>
        </is>
      </c>
      <c r="O202" s="25" t="inlineStr">
        <is>
          <t>Take</t>
        </is>
      </c>
      <c r="P202" s="25" t="inlineStr">
        <is>
          <t>Take</t>
        </is>
      </c>
      <c r="Q202" s="25" t="inlineStr">
        <is>
          <t>Take</t>
        </is>
      </c>
      <c r="R202" s="25" t="inlineStr">
        <is>
          <t>Take</t>
        </is>
      </c>
      <c r="S202" s="25" t="inlineStr">
        <is>
          <t>16e1ed</t>
        </is>
      </c>
    </row>
    <row r="203">
      <c r="A203" s="30" t="n">
        <v>46320.39930555555</v>
      </c>
      <c r="B203" s="12" t="inlineStr">
        <is>
          <t>Lyft</t>
        </is>
      </c>
      <c r="C203" s="31" t="n">
        <v>2.75</v>
      </c>
      <c r="D203" s="22" t="n">
        <v>9.199999999999999</v>
      </c>
      <c r="E203" s="31" t="n">
        <v>17.96</v>
      </c>
      <c r="F203" s="22" t="n">
        <v>46.3</v>
      </c>
      <c r="G203" s="32" t="n">
        <v>34.22</v>
      </c>
      <c r="H203" s="33">
        <f>IFERROR(G203/(C203+E203),0)</f>
        <v/>
      </c>
      <c r="I203" s="33">
        <f>IFERROR((G203-(C203+E203)*Assumptions!$B$13)/((D203+F203)/60),0)</f>
        <v/>
      </c>
      <c r="J203" s="12" t="inlineStr">
        <is>
          <t>Passed</t>
        </is>
      </c>
      <c r="K203" s="33" t="n"/>
      <c r="L203" s="33" t="n"/>
      <c r="M203" s="33">
        <f>IF(J203="Took",L203,ROUND(G203*(1+Assumptions!$B$14)-(C203+E203)*Assumptions!$B$13,2))</f>
        <v/>
      </c>
      <c r="N203" s="12" t="inlineStr">
        <is>
          <t>Busy</t>
        </is>
      </c>
      <c r="O203" s="12" t="inlineStr">
        <is>
          <t>Skip</t>
        </is>
      </c>
      <c r="P203" s="12" t="inlineStr">
        <is>
          <t>Busy</t>
        </is>
      </c>
      <c r="Q203" s="12" t="inlineStr">
        <is>
          <t>Busy</t>
        </is>
      </c>
      <c r="R203" s="12" t="inlineStr">
        <is>
          <t>Busy</t>
        </is>
      </c>
      <c r="S203" s="12" t="inlineStr">
        <is>
          <t>2efc47</t>
        </is>
      </c>
    </row>
    <row r="204">
      <c r="A204" s="24" t="n">
        <v>46320.40902777778</v>
      </c>
      <c r="B204" s="25" t="inlineStr">
        <is>
          <t>Uber</t>
        </is>
      </c>
      <c r="C204" s="26" t="n">
        <v>1.06</v>
      </c>
      <c r="D204" s="27" t="n">
        <v>5.1</v>
      </c>
      <c r="E204" s="26" t="n">
        <v>9.460000000000001</v>
      </c>
      <c r="F204" s="27" t="n">
        <v>25.2</v>
      </c>
      <c r="G204" s="28" t="n">
        <v>27.23</v>
      </c>
      <c r="H204" s="29">
        <f>IFERROR(G204/(C204+E204),0)</f>
        <v/>
      </c>
      <c r="I204" s="29">
        <f>IFERROR((G204-(C204+E204)*Assumptions!$B$13)/((D204+F204)/60),0)</f>
        <v/>
      </c>
      <c r="J204" s="25" t="inlineStr">
        <is>
          <t>Took</t>
        </is>
      </c>
      <c r="K204" s="28" t="n">
        <v>27.23</v>
      </c>
      <c r="L204" s="28" t="n">
        <v>24.31</v>
      </c>
      <c r="M204" s="29">
        <f>IF(J204="Took",L204,ROUND(G204*(1+Assumptions!$B$14)-(C204+E204)*Assumptions!$B$13,2))</f>
        <v/>
      </c>
      <c r="N204" s="25" t="inlineStr">
        <is>
          <t>Take</t>
        </is>
      </c>
      <c r="O204" s="25" t="inlineStr">
        <is>
          <t>Take</t>
        </is>
      </c>
      <c r="P204" s="25" t="inlineStr">
        <is>
          <t>Take</t>
        </is>
      </c>
      <c r="Q204" s="25" t="inlineStr">
        <is>
          <t>Take</t>
        </is>
      </c>
      <c r="R204" s="25" t="inlineStr">
        <is>
          <t>Take</t>
        </is>
      </c>
      <c r="S204" s="25" t="inlineStr">
        <is>
          <t>b751a4</t>
        </is>
      </c>
    </row>
    <row r="205">
      <c r="A205" s="30" t="n">
        <v>46320.51458333333</v>
      </c>
      <c r="B205" s="12" t="inlineStr">
        <is>
          <t>Lyft</t>
        </is>
      </c>
      <c r="C205" s="31" t="n">
        <v>8.02</v>
      </c>
      <c r="D205" s="22" t="n">
        <v>22.8</v>
      </c>
      <c r="E205" s="31" t="n">
        <v>12.27</v>
      </c>
      <c r="F205" s="22" t="n">
        <v>32.7</v>
      </c>
      <c r="G205" s="32" t="n">
        <v>24.57</v>
      </c>
      <c r="H205" s="33">
        <f>IFERROR(G205/(C205+E205),0)</f>
        <v/>
      </c>
      <c r="I205" s="33">
        <f>IFERROR((G205-(C205+E205)*Assumptions!$B$13)/((D205+F205)/60),0)</f>
        <v/>
      </c>
      <c r="J205" s="12" t="inlineStr">
        <is>
          <t>Passed</t>
        </is>
      </c>
      <c r="K205" s="33" t="n"/>
      <c r="L205" s="33" t="n"/>
      <c r="M205" s="33">
        <f>IF(J205="Took",L205,ROUND(G205*(1+Assumptions!$B$14)-(C205+E205)*Assumptions!$B$13,2))</f>
        <v/>
      </c>
      <c r="N205" s="12" t="inlineStr">
        <is>
          <t>Skip</t>
        </is>
      </c>
      <c r="O205" s="12" t="inlineStr">
        <is>
          <t>Skip</t>
        </is>
      </c>
      <c r="P205" s="12" t="inlineStr">
        <is>
          <t>Busy</t>
        </is>
      </c>
      <c r="Q205" s="12" t="inlineStr">
        <is>
          <t>Busy</t>
        </is>
      </c>
      <c r="R205" s="12" t="inlineStr">
        <is>
          <t>Busy</t>
        </is>
      </c>
      <c r="S205" s="12" t="inlineStr">
        <is>
          <t>f3b626</t>
        </is>
      </c>
    </row>
    <row r="206">
      <c r="A206" s="24" t="n">
        <v>46320.51944444444</v>
      </c>
      <c r="B206" s="25" t="inlineStr">
        <is>
          <t>Uber</t>
        </is>
      </c>
      <c r="C206" s="26" t="n">
        <v>1.42</v>
      </c>
      <c r="D206" s="27" t="n">
        <v>6.7</v>
      </c>
      <c r="E206" s="26" t="n">
        <v>18.12</v>
      </c>
      <c r="F206" s="27" t="n">
        <v>46.9</v>
      </c>
      <c r="G206" s="28" t="n">
        <v>57.15</v>
      </c>
      <c r="H206" s="29">
        <f>IFERROR(G206/(C206+E206),0)</f>
        <v/>
      </c>
      <c r="I206" s="29">
        <f>IFERROR((G206-(C206+E206)*Assumptions!$B$13)/((D206+F206)/60),0)</f>
        <v/>
      </c>
      <c r="J206" s="25" t="inlineStr">
        <is>
          <t>Took</t>
        </is>
      </c>
      <c r="K206" s="28" t="n">
        <v>57.15</v>
      </c>
      <c r="L206" s="28" t="n">
        <v>51.64</v>
      </c>
      <c r="M206" s="29">
        <f>IF(J206="Took",L206,ROUND(G206*(1+Assumptions!$B$14)-(C206+E206)*Assumptions!$B$13,2))</f>
        <v/>
      </c>
      <c r="N206" s="25" t="inlineStr">
        <is>
          <t>Take</t>
        </is>
      </c>
      <c r="O206" s="25" t="inlineStr">
        <is>
          <t>Take</t>
        </is>
      </c>
      <c r="P206" s="25" t="inlineStr">
        <is>
          <t>Take</t>
        </is>
      </c>
      <c r="Q206" s="25" t="inlineStr">
        <is>
          <t>Take</t>
        </is>
      </c>
      <c r="R206" s="25" t="inlineStr">
        <is>
          <t>Take</t>
        </is>
      </c>
      <c r="S206" s="25" t="inlineStr">
        <is>
          <t>19c580</t>
        </is>
      </c>
    </row>
    <row r="207">
      <c r="A207" s="30" t="n">
        <v>46320.6125</v>
      </c>
      <c r="B207" s="12" t="inlineStr">
        <is>
          <t>Uber</t>
        </is>
      </c>
      <c r="C207" s="31" t="n">
        <v>1.09</v>
      </c>
      <c r="D207" s="22" t="n">
        <v>5.7</v>
      </c>
      <c r="E207" s="31" t="n">
        <v>20.14</v>
      </c>
      <c r="F207" s="22" t="n">
        <v>49.8</v>
      </c>
      <c r="G207" s="32" t="n">
        <v>48.81</v>
      </c>
      <c r="H207" s="33">
        <f>IFERROR(G207/(C207+E207),0)</f>
        <v/>
      </c>
      <c r="I207" s="33">
        <f>IFERROR((G207-(C207+E207)*Assumptions!$B$13)/((D207+F207)/60),0)</f>
        <v/>
      </c>
      <c r="J207" s="12" t="inlineStr">
        <is>
          <t>Took</t>
        </is>
      </c>
      <c r="K207" s="32" t="n">
        <v>52.69</v>
      </c>
      <c r="L207" s="32" t="n">
        <v>46.69</v>
      </c>
      <c r="M207" s="33">
        <f>IF(J207="Took",L207,ROUND(G207*(1+Assumptions!$B$14)-(C207+E207)*Assumptions!$B$13,2))</f>
        <v/>
      </c>
      <c r="N207" s="12" t="inlineStr">
        <is>
          <t>Take</t>
        </is>
      </c>
      <c r="O207" s="12" t="inlineStr">
        <is>
          <t>Take</t>
        </is>
      </c>
      <c r="P207" s="12" t="inlineStr">
        <is>
          <t>Take</t>
        </is>
      </c>
      <c r="Q207" s="12" t="inlineStr">
        <is>
          <t>Take</t>
        </is>
      </c>
      <c r="R207" s="12" t="inlineStr">
        <is>
          <t>Take</t>
        </is>
      </c>
      <c r="S207" s="12" t="inlineStr">
        <is>
          <t>154114</t>
        </is>
      </c>
    </row>
    <row r="208">
      <c r="A208" s="24" t="n">
        <v>46320.63055555556</v>
      </c>
      <c r="B208" s="25" t="inlineStr">
        <is>
          <t>Uber</t>
        </is>
      </c>
      <c r="C208" s="26" t="n">
        <v>2.3</v>
      </c>
      <c r="D208" s="27" t="n">
        <v>7.9</v>
      </c>
      <c r="E208" s="26" t="n">
        <v>8.890000000000001</v>
      </c>
      <c r="F208" s="27" t="n">
        <v>28.3</v>
      </c>
      <c r="G208" s="28" t="n">
        <v>15.34</v>
      </c>
      <c r="H208" s="29">
        <f>IFERROR(G208/(C208+E208),0)</f>
        <v/>
      </c>
      <c r="I208" s="29">
        <f>IFERROR((G208-(C208+E208)*Assumptions!$B$13)/((D208+F208)/60),0)</f>
        <v/>
      </c>
      <c r="J208" s="25" t="inlineStr">
        <is>
          <t>Took</t>
        </is>
      </c>
      <c r="K208" s="28" t="n">
        <v>21.87</v>
      </c>
      <c r="L208" s="28" t="n">
        <v>18.73</v>
      </c>
      <c r="M208" s="29">
        <f>IF(J208="Took",L208,ROUND(G208*(1+Assumptions!$B$14)-(C208+E208)*Assumptions!$B$13,2))</f>
        <v/>
      </c>
      <c r="N208" s="25" t="inlineStr">
        <is>
          <t>Take</t>
        </is>
      </c>
      <c r="O208" s="25" t="inlineStr">
        <is>
          <t>Skip</t>
        </is>
      </c>
      <c r="P208" s="25" t="inlineStr">
        <is>
          <t>Take</t>
        </is>
      </c>
      <c r="Q208" s="25" t="inlineStr">
        <is>
          <t>Take</t>
        </is>
      </c>
      <c r="R208" s="25" t="inlineStr">
        <is>
          <t>Take</t>
        </is>
      </c>
      <c r="S208" s="25" t="inlineStr">
        <is>
          <t>558b64</t>
        </is>
      </c>
    </row>
    <row r="209">
      <c r="A209" s="30" t="n">
        <v>46322.57708333333</v>
      </c>
      <c r="B209" s="12" t="inlineStr">
        <is>
          <t>Lyft</t>
        </is>
      </c>
      <c r="C209" s="31" t="n">
        <v>1.62</v>
      </c>
      <c r="D209" s="22" t="n">
        <v>6.2</v>
      </c>
      <c r="E209" s="31" t="n">
        <v>18.94</v>
      </c>
      <c r="F209" s="22" t="n">
        <v>47.6</v>
      </c>
      <c r="G209" s="32" t="n">
        <v>33.41</v>
      </c>
      <c r="H209" s="33">
        <f>IFERROR(G209/(C209+E209),0)</f>
        <v/>
      </c>
      <c r="I209" s="33">
        <f>IFERROR((G209-(C209+E209)*Assumptions!$B$13)/((D209+F209)/60),0)</f>
        <v/>
      </c>
      <c r="J209" s="12" t="inlineStr">
        <is>
          <t>Passed</t>
        </is>
      </c>
      <c r="K209" s="33" t="n"/>
      <c r="L209" s="33" t="n"/>
      <c r="M209" s="33">
        <f>IF(J209="Took",L209,ROUND(G209*(1+Assumptions!$B$14)-(C209+E209)*Assumptions!$B$13,2))</f>
        <v/>
      </c>
      <c r="N209" s="12" t="inlineStr">
        <is>
          <t>Busy</t>
        </is>
      </c>
      <c r="O209" s="12" t="inlineStr">
        <is>
          <t>Busy</t>
        </is>
      </c>
      <c r="P209" s="12" t="inlineStr">
        <is>
          <t>Busy</t>
        </is>
      </c>
      <c r="Q209" s="12" t="inlineStr">
        <is>
          <t>Busy</t>
        </is>
      </c>
      <c r="R209" s="12" t="inlineStr">
        <is>
          <t>Busy</t>
        </is>
      </c>
      <c r="S209" s="12" t="inlineStr">
        <is>
          <t>3d6974</t>
        </is>
      </c>
    </row>
    <row r="210">
      <c r="A210" s="24" t="n">
        <v>46322.59027777778</v>
      </c>
      <c r="B210" s="25" t="inlineStr">
        <is>
          <t>Lyft</t>
        </is>
      </c>
      <c r="C210" s="26" t="n">
        <v>1.51</v>
      </c>
      <c r="D210" s="27" t="n">
        <v>6.5</v>
      </c>
      <c r="E210" s="26" t="n">
        <v>24.96</v>
      </c>
      <c r="F210" s="27" t="n">
        <v>60.4</v>
      </c>
      <c r="G210" s="28" t="n">
        <v>39.66</v>
      </c>
      <c r="H210" s="29">
        <f>IFERROR(G210/(C210+E210),0)</f>
        <v/>
      </c>
      <c r="I210" s="29">
        <f>IFERROR((G210-(C210+E210)*Assumptions!$B$13)/((D210+F210)/60),0)</f>
        <v/>
      </c>
      <c r="J210" s="25" t="inlineStr">
        <is>
          <t>Took</t>
        </is>
      </c>
      <c r="K210" s="28" t="n">
        <v>39.66</v>
      </c>
      <c r="L210" s="28" t="n">
        <v>32.31</v>
      </c>
      <c r="M210" s="29">
        <f>IF(J210="Took",L210,ROUND(G210*(1+Assumptions!$B$14)-(C210+E210)*Assumptions!$B$13,2))</f>
        <v/>
      </c>
      <c r="N210" s="25" t="inlineStr">
        <is>
          <t>Take</t>
        </is>
      </c>
      <c r="O210" s="25" t="inlineStr">
        <is>
          <t>Take</t>
        </is>
      </c>
      <c r="P210" s="25" t="inlineStr">
        <is>
          <t>Take</t>
        </is>
      </c>
      <c r="Q210" s="25" t="inlineStr">
        <is>
          <t>Take</t>
        </is>
      </c>
      <c r="R210" s="25" t="inlineStr">
        <is>
          <t>Take</t>
        </is>
      </c>
      <c r="S210" s="25" t="inlineStr">
        <is>
          <t>4b7718</t>
        </is>
      </c>
    </row>
    <row r="211">
      <c r="A211" s="30" t="n">
        <v>46322.66041666667</v>
      </c>
      <c r="B211" s="12" t="inlineStr">
        <is>
          <t>Lyft</t>
        </is>
      </c>
      <c r="C211" s="31" t="n">
        <v>8</v>
      </c>
      <c r="D211" s="22" t="n">
        <v>22.2</v>
      </c>
      <c r="E211" s="31" t="n">
        <v>6.07</v>
      </c>
      <c r="F211" s="22" t="n">
        <v>20.8</v>
      </c>
      <c r="G211" s="32" t="n">
        <v>40.75</v>
      </c>
      <c r="H211" s="33">
        <f>IFERROR(G211/(C211+E211),0)</f>
        <v/>
      </c>
      <c r="I211" s="33">
        <f>IFERROR((G211-(C211+E211)*Assumptions!$B$13)/((D211+F211)/60),0)</f>
        <v/>
      </c>
      <c r="J211" s="12" t="inlineStr">
        <is>
          <t>Took</t>
        </is>
      </c>
      <c r="K211" s="32" t="n">
        <v>40.75</v>
      </c>
      <c r="L211" s="32" t="n">
        <v>36.8</v>
      </c>
      <c r="M211" s="33">
        <f>IF(J211="Took",L211,ROUND(G211*(1+Assumptions!$B$14)-(C211+E211)*Assumptions!$B$13,2))</f>
        <v/>
      </c>
      <c r="N211" s="12" t="inlineStr">
        <is>
          <t>Skip</t>
        </is>
      </c>
      <c r="O211" s="12" t="inlineStr">
        <is>
          <t>Skip</t>
        </is>
      </c>
      <c r="P211" s="12" t="inlineStr">
        <is>
          <t>Take</t>
        </is>
      </c>
      <c r="Q211" s="12" t="inlineStr">
        <is>
          <t>Take</t>
        </is>
      </c>
      <c r="R211" s="12" t="inlineStr">
        <is>
          <t>Take</t>
        </is>
      </c>
      <c r="S211" s="12" t="inlineStr">
        <is>
          <t>682864</t>
        </is>
      </c>
    </row>
    <row r="212">
      <c r="A212" s="24" t="n">
        <v>46322.66805555556</v>
      </c>
      <c r="B212" s="25" t="inlineStr">
        <is>
          <t>Uber</t>
        </is>
      </c>
      <c r="C212" s="26" t="n">
        <v>3.15</v>
      </c>
      <c r="D212" s="27" t="n">
        <v>10.2</v>
      </c>
      <c r="E212" s="26" t="n">
        <v>12.61</v>
      </c>
      <c r="F212" s="27" t="n">
        <v>35.3</v>
      </c>
      <c r="G212" s="28" t="n">
        <v>23.79</v>
      </c>
      <c r="H212" s="29">
        <f>IFERROR(G212/(C212+E212),0)</f>
        <v/>
      </c>
      <c r="I212" s="29">
        <f>IFERROR((G212-(C212+E212)*Assumptions!$B$13)/((D212+F212)/60),0)</f>
        <v/>
      </c>
      <c r="J212" s="25" t="inlineStr">
        <is>
          <t>Passed</t>
        </is>
      </c>
      <c r="K212" s="29" t="n"/>
      <c r="L212" s="29" t="n"/>
      <c r="M212" s="29">
        <f>IF(J212="Took",L212,ROUND(G212*(1+Assumptions!$B$14)-(C212+E212)*Assumptions!$B$13,2))</f>
        <v/>
      </c>
      <c r="N212" s="25" t="inlineStr">
        <is>
          <t>Skip</t>
        </is>
      </c>
      <c r="O212" s="25" t="inlineStr">
        <is>
          <t>Skip</t>
        </is>
      </c>
      <c r="P212" s="25" t="inlineStr">
        <is>
          <t>Busy</t>
        </is>
      </c>
      <c r="Q212" s="25" t="inlineStr">
        <is>
          <t>Busy</t>
        </is>
      </c>
      <c r="R212" s="25" t="inlineStr">
        <is>
          <t>Busy</t>
        </is>
      </c>
      <c r="S212" s="25" t="inlineStr">
        <is>
          <t>42bd73</t>
        </is>
      </c>
    </row>
    <row r="213">
      <c r="A213" s="30" t="n">
        <v>46322.67916666667</v>
      </c>
      <c r="B213" s="12" t="inlineStr">
        <is>
          <t>Lyft</t>
        </is>
      </c>
      <c r="C213" s="31" t="n">
        <v>2.55</v>
      </c>
      <c r="D213" s="22" t="n">
        <v>7.7</v>
      </c>
      <c r="E213" s="31" t="n">
        <v>10.4</v>
      </c>
      <c r="F213" s="22" t="n">
        <v>28.4</v>
      </c>
      <c r="G213" s="32" t="n">
        <v>16.96</v>
      </c>
      <c r="H213" s="33">
        <f>IFERROR(G213/(C213+E213),0)</f>
        <v/>
      </c>
      <c r="I213" s="33">
        <f>IFERROR((G213-(C213+E213)*Assumptions!$B$13)/((D213+F213)/60),0)</f>
        <v/>
      </c>
      <c r="J213" s="12" t="inlineStr">
        <is>
          <t>Took</t>
        </is>
      </c>
      <c r="K213" s="32" t="n">
        <v>16.96</v>
      </c>
      <c r="L213" s="32" t="n">
        <v>13.32</v>
      </c>
      <c r="M213" s="33">
        <f>IF(J213="Took",L213,ROUND(G213*(1+Assumptions!$B$14)-(C213+E213)*Assumptions!$B$13,2))</f>
        <v/>
      </c>
      <c r="N213" s="12" t="inlineStr">
        <is>
          <t>Take</t>
        </is>
      </c>
      <c r="O213" s="12" t="inlineStr">
        <is>
          <t>Skip</t>
        </is>
      </c>
      <c r="P213" s="12" t="inlineStr">
        <is>
          <t>Take</t>
        </is>
      </c>
      <c r="Q213" s="12" t="inlineStr">
        <is>
          <t>Take</t>
        </is>
      </c>
      <c r="R213" s="12" t="inlineStr">
        <is>
          <t>Take</t>
        </is>
      </c>
      <c r="S213" s="12" t="inlineStr">
        <is>
          <t>200680</t>
        </is>
      </c>
    </row>
    <row r="214">
      <c r="A214" s="24" t="n">
        <v>46322.74097222222</v>
      </c>
      <c r="B214" s="25" t="inlineStr">
        <is>
          <t>Lyft</t>
        </is>
      </c>
      <c r="C214" s="26" t="n">
        <v>3.92</v>
      </c>
      <c r="D214" s="27" t="n">
        <v>12.2</v>
      </c>
      <c r="E214" s="26" t="n">
        <v>2.92</v>
      </c>
      <c r="F214" s="27" t="n">
        <v>14.3</v>
      </c>
      <c r="G214" s="28" t="n">
        <v>10.46</v>
      </c>
      <c r="H214" s="29">
        <f>IFERROR(G214/(C214+E214),0)</f>
        <v/>
      </c>
      <c r="I214" s="29">
        <f>IFERROR((G214-(C214+E214)*Assumptions!$B$13)/((D214+F214)/60),0)</f>
        <v/>
      </c>
      <c r="J214" s="25" t="inlineStr">
        <is>
          <t>Passed</t>
        </is>
      </c>
      <c r="K214" s="29" t="n"/>
      <c r="L214" s="29" t="n"/>
      <c r="M214" s="29">
        <f>IF(J214="Took",L214,ROUND(G214*(1+Assumptions!$B$14)-(C214+E214)*Assumptions!$B$13,2))</f>
        <v/>
      </c>
      <c r="N214" s="25" t="inlineStr">
        <is>
          <t>Skip</t>
        </is>
      </c>
      <c r="O214" s="25" t="inlineStr">
        <is>
          <t>Skip</t>
        </is>
      </c>
      <c r="P214" s="25" t="inlineStr">
        <is>
          <t>Busy</t>
        </is>
      </c>
      <c r="Q214" s="25" t="inlineStr">
        <is>
          <t>Skip</t>
        </is>
      </c>
      <c r="R214" s="25" t="inlineStr">
        <is>
          <t>Busy</t>
        </is>
      </c>
      <c r="S214" s="25" t="inlineStr">
        <is>
          <t>3068b7</t>
        </is>
      </c>
    </row>
    <row r="215">
      <c r="A215" s="30" t="n">
        <v>46322.74652777778</v>
      </c>
      <c r="B215" s="12" t="inlineStr">
        <is>
          <t>Lyft</t>
        </is>
      </c>
      <c r="C215" s="31" t="n">
        <v>0.8100000000000001</v>
      </c>
      <c r="D215" s="22" t="n">
        <v>4</v>
      </c>
      <c r="E215" s="31" t="n">
        <v>11.45</v>
      </c>
      <c r="F215" s="22" t="n">
        <v>32</v>
      </c>
      <c r="G215" s="32" t="n">
        <v>31.16</v>
      </c>
      <c r="H215" s="33">
        <f>IFERROR(G215/(C215+E215),0)</f>
        <v/>
      </c>
      <c r="I215" s="33">
        <f>IFERROR((G215-(C215+E215)*Assumptions!$B$13)/((D215+F215)/60),0)</f>
        <v/>
      </c>
      <c r="J215" s="12" t="inlineStr">
        <is>
          <t>Took</t>
        </is>
      </c>
      <c r="K215" s="32" t="n">
        <v>31.16</v>
      </c>
      <c r="L215" s="32" t="n">
        <v>27.75</v>
      </c>
      <c r="M215" s="33">
        <f>IF(J215="Took",L215,ROUND(G215*(1+Assumptions!$B$14)-(C215+E215)*Assumptions!$B$13,2))</f>
        <v/>
      </c>
      <c r="N215" s="12" t="inlineStr">
        <is>
          <t>Take</t>
        </is>
      </c>
      <c r="O215" s="12" t="inlineStr">
        <is>
          <t>Take</t>
        </is>
      </c>
      <c r="P215" s="12" t="inlineStr">
        <is>
          <t>Take</t>
        </is>
      </c>
      <c r="Q215" s="12" t="inlineStr">
        <is>
          <t>Take</t>
        </is>
      </c>
      <c r="R215" s="12" t="inlineStr">
        <is>
          <t>Take</t>
        </is>
      </c>
      <c r="S215" s="12" t="inlineStr">
        <is>
          <t>e3f380</t>
        </is>
      </c>
    </row>
    <row r="216">
      <c r="A216" s="24" t="n">
        <v>46324.54027777778</v>
      </c>
      <c r="B216" s="25" t="inlineStr">
        <is>
          <t>Uber</t>
        </is>
      </c>
      <c r="C216" s="26" t="n">
        <v>0.48</v>
      </c>
      <c r="D216" s="27" t="n">
        <v>2.6</v>
      </c>
      <c r="E216" s="26" t="n">
        <v>4.86</v>
      </c>
      <c r="F216" s="27" t="n">
        <v>15.2</v>
      </c>
      <c r="G216" s="28" t="n">
        <v>10.93</v>
      </c>
      <c r="H216" s="29">
        <f>IFERROR(G216/(C216+E216),0)</f>
        <v/>
      </c>
      <c r="I216" s="29">
        <f>IFERROR((G216-(C216+E216)*Assumptions!$B$13)/((D216+F216)/60),0)</f>
        <v/>
      </c>
      <c r="J216" s="25" t="inlineStr">
        <is>
          <t>Took</t>
        </is>
      </c>
      <c r="K216" s="28" t="n">
        <v>4.13</v>
      </c>
      <c r="L216" s="28" t="n">
        <v>4</v>
      </c>
      <c r="M216" s="29">
        <f>IF(J216="Took",L216,ROUND(G216*(1+Assumptions!$B$14)-(C216+E216)*Assumptions!$B$13,2))</f>
        <v/>
      </c>
      <c r="N216" s="25" t="inlineStr">
        <is>
          <t>Take</t>
        </is>
      </c>
      <c r="O216" s="25" t="inlineStr">
        <is>
          <t>Take</t>
        </is>
      </c>
      <c r="P216" s="25" t="inlineStr">
        <is>
          <t>Take</t>
        </is>
      </c>
      <c r="Q216" s="25" t="inlineStr">
        <is>
          <t>Take</t>
        </is>
      </c>
      <c r="R216" s="25" t="inlineStr">
        <is>
          <t>Take</t>
        </is>
      </c>
      <c r="S216" s="25" t="inlineStr">
        <is>
          <t>3d5f49</t>
        </is>
      </c>
    </row>
    <row r="217">
      <c r="A217" s="30" t="n">
        <v>46324.62222222222</v>
      </c>
      <c r="B217" s="12" t="inlineStr">
        <is>
          <t>Lyft</t>
        </is>
      </c>
      <c r="C217" s="31" t="n">
        <v>2.25</v>
      </c>
      <c r="D217" s="22" t="n">
        <v>7.8</v>
      </c>
      <c r="E217" s="31" t="n">
        <v>3.25</v>
      </c>
      <c r="F217" s="22" t="n">
        <v>12.8</v>
      </c>
      <c r="G217" s="32" t="n">
        <v>8.19</v>
      </c>
      <c r="H217" s="33">
        <f>IFERROR(G217/(C217+E217),0)</f>
        <v/>
      </c>
      <c r="I217" s="33">
        <f>IFERROR((G217-(C217+E217)*Assumptions!$B$13)/((D217+F217)/60),0)</f>
        <v/>
      </c>
      <c r="J217" s="12" t="inlineStr">
        <is>
          <t>Passed</t>
        </is>
      </c>
      <c r="K217" s="33" t="n"/>
      <c r="L217" s="33" t="n"/>
      <c r="M217" s="33">
        <f>IF(J217="Took",L217,ROUND(G217*(1+Assumptions!$B$14)-(C217+E217)*Assumptions!$B$13,2))</f>
        <v/>
      </c>
      <c r="N217" s="12" t="inlineStr">
        <is>
          <t>Busy</t>
        </is>
      </c>
      <c r="O217" s="12" t="inlineStr">
        <is>
          <t>Skip</t>
        </is>
      </c>
      <c r="P217" s="12" t="inlineStr">
        <is>
          <t>Busy</t>
        </is>
      </c>
      <c r="Q217" s="12" t="inlineStr">
        <is>
          <t>Skip</t>
        </is>
      </c>
      <c r="R217" s="12" t="inlineStr">
        <is>
          <t>Busy</t>
        </is>
      </c>
      <c r="S217" s="12" t="inlineStr">
        <is>
          <t>a2d63c</t>
        </is>
      </c>
    </row>
    <row r="218">
      <c r="A218" s="24" t="n">
        <v>46324.62916666667</v>
      </c>
      <c r="B218" s="25" t="inlineStr">
        <is>
          <t>Uber</t>
        </is>
      </c>
      <c r="C218" s="26" t="n">
        <v>0.61</v>
      </c>
      <c r="D218" s="27" t="n">
        <v>3.3</v>
      </c>
      <c r="E218" s="26" t="n">
        <v>10.42</v>
      </c>
      <c r="F218" s="27" t="n">
        <v>31.8</v>
      </c>
      <c r="G218" s="28" t="n">
        <v>13.64</v>
      </c>
      <c r="H218" s="29">
        <f>IFERROR(G218/(C218+E218),0)</f>
        <v/>
      </c>
      <c r="I218" s="29">
        <f>IFERROR((G218-(C218+E218)*Assumptions!$B$13)/((D218+F218)/60),0)</f>
        <v/>
      </c>
      <c r="J218" s="25" t="inlineStr">
        <is>
          <t>Took</t>
        </is>
      </c>
      <c r="K218" s="28" t="n">
        <v>25.35</v>
      </c>
      <c r="L218" s="28" t="n">
        <v>22.28</v>
      </c>
      <c r="M218" s="29">
        <f>IF(J218="Took",L218,ROUND(G218*(1+Assumptions!$B$14)-(C218+E218)*Assumptions!$B$13,2))</f>
        <v/>
      </c>
      <c r="N218" s="25" t="inlineStr">
        <is>
          <t>Take</t>
        </is>
      </c>
      <c r="O218" s="25" t="inlineStr">
        <is>
          <t>Take</t>
        </is>
      </c>
      <c r="P218" s="25" t="inlineStr">
        <is>
          <t>Take</t>
        </is>
      </c>
      <c r="Q218" s="25" t="inlineStr">
        <is>
          <t>Skip</t>
        </is>
      </c>
      <c r="R218" s="25" t="inlineStr">
        <is>
          <t>Take</t>
        </is>
      </c>
      <c r="S218" s="25" t="inlineStr">
        <is>
          <t>277c53</t>
        </is>
      </c>
    </row>
    <row r="219">
      <c r="A219" s="30" t="n">
        <v>46324.70347222222</v>
      </c>
      <c r="B219" s="12" t="inlineStr">
        <is>
          <t>Lyft</t>
        </is>
      </c>
      <c r="C219" s="31" t="n">
        <v>1.75</v>
      </c>
      <c r="D219" s="22" t="n">
        <v>6.5</v>
      </c>
      <c r="E219" s="31" t="n">
        <v>2.43</v>
      </c>
      <c r="F219" s="22" t="n">
        <v>8.800000000000001</v>
      </c>
      <c r="G219" s="32" t="n">
        <v>6.41</v>
      </c>
      <c r="H219" s="33">
        <f>IFERROR(G219/(C219+E219),0)</f>
        <v/>
      </c>
      <c r="I219" s="33">
        <f>IFERROR((G219-(C219+E219)*Assumptions!$B$13)/((D219+F219)/60),0)</f>
        <v/>
      </c>
      <c r="J219" s="12" t="inlineStr">
        <is>
          <t>Passed</t>
        </is>
      </c>
      <c r="K219" s="33" t="n"/>
      <c r="L219" s="33" t="n"/>
      <c r="M219" s="33">
        <f>IF(J219="Took",L219,ROUND(G219*(1+Assumptions!$B$14)-(C219+E219)*Assumptions!$B$13,2))</f>
        <v/>
      </c>
      <c r="N219" s="12" t="inlineStr">
        <is>
          <t>Take</t>
        </is>
      </c>
      <c r="O219" s="12" t="inlineStr">
        <is>
          <t>Take</t>
        </is>
      </c>
      <c r="P219" s="12" t="inlineStr">
        <is>
          <t>Take</t>
        </is>
      </c>
      <c r="Q219" s="12" t="inlineStr">
        <is>
          <t>Take</t>
        </is>
      </c>
      <c r="R219" s="12" t="inlineStr">
        <is>
          <t>Take</t>
        </is>
      </c>
      <c r="S219" s="12" t="inlineStr">
        <is>
          <t>e719ce</t>
        </is>
      </c>
    </row>
    <row r="220">
      <c r="A220" s="24" t="n">
        <v>46324.71597222222</v>
      </c>
      <c r="B220" s="25" t="inlineStr">
        <is>
          <t>Uber</t>
        </is>
      </c>
      <c r="C220" s="26" t="n">
        <v>2.84</v>
      </c>
      <c r="D220" s="27" t="n">
        <v>9.699999999999999</v>
      </c>
      <c r="E220" s="26" t="n">
        <v>8.449999999999999</v>
      </c>
      <c r="F220" s="27" t="n">
        <v>26.9</v>
      </c>
      <c r="G220" s="28" t="n">
        <v>18.02</v>
      </c>
      <c r="H220" s="29">
        <f>IFERROR(G220/(C220+E220),0)</f>
        <v/>
      </c>
      <c r="I220" s="29">
        <f>IFERROR((G220-(C220+E220)*Assumptions!$B$13)/((D220+F220)/60),0)</f>
        <v/>
      </c>
      <c r="J220" s="25" t="inlineStr">
        <is>
          <t>Took</t>
        </is>
      </c>
      <c r="K220" s="28" t="n">
        <v>18.02</v>
      </c>
      <c r="L220" s="28" t="n">
        <v>14.84</v>
      </c>
      <c r="M220" s="29">
        <f>IF(J220="Took",L220,ROUND(G220*(1+Assumptions!$B$14)-(C220+E220)*Assumptions!$B$13,2))</f>
        <v/>
      </c>
      <c r="N220" s="25" t="inlineStr">
        <is>
          <t>Take</t>
        </is>
      </c>
      <c r="O220" s="25" t="inlineStr">
        <is>
          <t>Skip</t>
        </is>
      </c>
      <c r="P220" s="25" t="inlineStr">
        <is>
          <t>Take</t>
        </is>
      </c>
      <c r="Q220" s="25" t="inlineStr">
        <is>
          <t>Take</t>
        </is>
      </c>
      <c r="R220" s="25" t="inlineStr">
        <is>
          <t>Take</t>
        </is>
      </c>
      <c r="S220" s="25" t="inlineStr">
        <is>
          <t>6e4442</t>
        </is>
      </c>
    </row>
    <row r="221">
      <c r="A221" s="30" t="n">
        <v>46324.81319444445</v>
      </c>
      <c r="B221" s="12" t="inlineStr">
        <is>
          <t>Uber</t>
        </is>
      </c>
      <c r="C221" s="31" t="n">
        <v>1.88</v>
      </c>
      <c r="D221" s="22" t="n">
        <v>6.9</v>
      </c>
      <c r="E221" s="31" t="n">
        <v>17.92</v>
      </c>
      <c r="F221" s="22" t="n">
        <v>42.8</v>
      </c>
      <c r="G221" s="32" t="n">
        <v>33.31</v>
      </c>
      <c r="H221" s="33">
        <f>IFERROR(G221/(C221+E221),0)</f>
        <v/>
      </c>
      <c r="I221" s="33">
        <f>IFERROR((G221-(C221+E221)*Assumptions!$B$13)/((D221+F221)/60),0)</f>
        <v/>
      </c>
      <c r="J221" s="12" t="inlineStr">
        <is>
          <t>Passed</t>
        </is>
      </c>
      <c r="K221" s="33" t="n"/>
      <c r="L221" s="33" t="n"/>
      <c r="M221" s="33">
        <f>IF(J221="Took",L221,ROUND(G221*(1+Assumptions!$B$14)-(C221+E221)*Assumptions!$B$13,2))</f>
        <v/>
      </c>
      <c r="N221" s="12" t="inlineStr">
        <is>
          <t>Busy</t>
        </is>
      </c>
      <c r="O221" s="12" t="inlineStr">
        <is>
          <t>Busy</t>
        </is>
      </c>
      <c r="P221" s="12" t="inlineStr">
        <is>
          <t>Take</t>
        </is>
      </c>
      <c r="Q221" s="12" t="inlineStr">
        <is>
          <t>Take</t>
        </is>
      </c>
      <c r="R221" s="12" t="inlineStr">
        <is>
          <t>Busy</t>
        </is>
      </c>
      <c r="S221" s="12" t="inlineStr">
        <is>
          <t>00caea</t>
        </is>
      </c>
    </row>
    <row r="222">
      <c r="A222" s="24" t="n">
        <v>46324.82083333333</v>
      </c>
      <c r="B222" s="25" t="inlineStr">
        <is>
          <t>Uber</t>
        </is>
      </c>
      <c r="C222" s="26" t="n">
        <v>1.8</v>
      </c>
      <c r="D222" s="27" t="n">
        <v>6.4</v>
      </c>
      <c r="E222" s="26" t="n">
        <v>10.61</v>
      </c>
      <c r="F222" s="27" t="n">
        <v>32.9</v>
      </c>
      <c r="G222" s="28" t="n">
        <v>11.6</v>
      </c>
      <c r="H222" s="29">
        <f>IFERROR(G222/(C222+E222),0)</f>
        <v/>
      </c>
      <c r="I222" s="29">
        <f>IFERROR((G222-(C222+E222)*Assumptions!$B$13)/((D222+F222)/60),0)</f>
        <v/>
      </c>
      <c r="J222" s="25" t="inlineStr">
        <is>
          <t>Took</t>
        </is>
      </c>
      <c r="K222" s="28" t="n">
        <v>20.36</v>
      </c>
      <c r="L222" s="28" t="n">
        <v>16.9</v>
      </c>
      <c r="M222" s="29">
        <f>IF(J222="Took",L222,ROUND(G222*(1+Assumptions!$B$14)-(C222+E222)*Assumptions!$B$13,2))</f>
        <v/>
      </c>
      <c r="N222" s="25" t="inlineStr">
        <is>
          <t>Take</t>
        </is>
      </c>
      <c r="O222" s="25" t="inlineStr">
        <is>
          <t>Take</t>
        </is>
      </c>
      <c r="P222" s="25" t="inlineStr">
        <is>
          <t>Skip</t>
        </is>
      </c>
      <c r="Q222" s="25" t="inlineStr">
        <is>
          <t>Skip</t>
        </is>
      </c>
      <c r="R222" s="25" t="inlineStr">
        <is>
          <t>Take</t>
        </is>
      </c>
      <c r="S222" s="25" t="inlineStr">
        <is>
          <t>860534</t>
        </is>
      </c>
    </row>
    <row r="223">
      <c r="A223" s="30" t="n">
        <v>46326.26388888889</v>
      </c>
      <c r="B223" s="12" t="inlineStr">
        <is>
          <t>Lyft</t>
        </is>
      </c>
      <c r="C223" s="31" t="n">
        <v>3.04</v>
      </c>
      <c r="D223" s="22" t="n">
        <v>9.9</v>
      </c>
      <c r="E223" s="31" t="n">
        <v>19.03</v>
      </c>
      <c r="F223" s="22" t="n">
        <v>48.2</v>
      </c>
      <c r="G223" s="32" t="n">
        <v>34.69</v>
      </c>
      <c r="H223" s="33">
        <f>IFERROR(G223/(C223+E223),0)</f>
        <v/>
      </c>
      <c r="I223" s="33">
        <f>IFERROR((G223-(C223+E223)*Assumptions!$B$13)/((D223+F223)/60),0)</f>
        <v/>
      </c>
      <c r="J223" s="12" t="inlineStr">
        <is>
          <t>Passed</t>
        </is>
      </c>
      <c r="K223" s="33" t="n"/>
      <c r="L223" s="33" t="n"/>
      <c r="M223" s="33">
        <f>IF(J223="Took",L223,ROUND(G223*(1+Assumptions!$B$14)-(C223+E223)*Assumptions!$B$13,2))</f>
        <v/>
      </c>
      <c r="N223" s="12" t="inlineStr">
        <is>
          <t>Skip</t>
        </is>
      </c>
      <c r="O223" s="12" t="inlineStr">
        <is>
          <t>Skip</t>
        </is>
      </c>
      <c r="P223" s="12" t="inlineStr">
        <is>
          <t>Busy</t>
        </is>
      </c>
      <c r="Q223" s="12" t="inlineStr">
        <is>
          <t>Busy</t>
        </is>
      </c>
      <c r="R223" s="12" t="inlineStr">
        <is>
          <t>Busy</t>
        </is>
      </c>
      <c r="S223" s="12" t="inlineStr">
        <is>
          <t>beddd3</t>
        </is>
      </c>
    </row>
    <row r="224">
      <c r="A224" s="24" t="n">
        <v>46326.26875</v>
      </c>
      <c r="B224" s="25" t="inlineStr">
        <is>
          <t>Lyft</t>
        </is>
      </c>
      <c r="C224" s="26" t="n">
        <v>1.13</v>
      </c>
      <c r="D224" s="27" t="n">
        <v>4.5</v>
      </c>
      <c r="E224" s="26" t="n">
        <v>11.33</v>
      </c>
      <c r="F224" s="27" t="n">
        <v>27.5</v>
      </c>
      <c r="G224" s="28" t="n">
        <v>19.56</v>
      </c>
      <c r="H224" s="29">
        <f>IFERROR(G224/(C224+E224),0)</f>
        <v/>
      </c>
      <c r="I224" s="29">
        <f>IFERROR((G224-(C224+E224)*Assumptions!$B$13)/((D224+F224)/60),0)</f>
        <v/>
      </c>
      <c r="J224" s="25" t="inlineStr">
        <is>
          <t>Took</t>
        </is>
      </c>
      <c r="K224" s="28" t="n">
        <v>23.64</v>
      </c>
      <c r="L224" s="28" t="n">
        <v>20.16</v>
      </c>
      <c r="M224" s="29">
        <f>IF(J224="Took",L224,ROUND(G224*(1+Assumptions!$B$14)-(C224+E224)*Assumptions!$B$13,2))</f>
        <v/>
      </c>
      <c r="N224" s="25" t="inlineStr">
        <is>
          <t>Take</t>
        </is>
      </c>
      <c r="O224" s="25" t="inlineStr">
        <is>
          <t>Take</t>
        </is>
      </c>
      <c r="P224" s="25" t="inlineStr">
        <is>
          <t>Take</t>
        </is>
      </c>
      <c r="Q224" s="25" t="inlineStr">
        <is>
          <t>Take</t>
        </is>
      </c>
      <c r="R224" s="25" t="inlineStr">
        <is>
          <t>Take</t>
        </is>
      </c>
      <c r="S224" s="25" t="inlineStr">
        <is>
          <t>88c601</t>
        </is>
      </c>
    </row>
    <row r="225">
      <c r="A225" s="30" t="n">
        <v>46326.31527777778</v>
      </c>
      <c r="B225" s="12" t="inlineStr">
        <is>
          <t>Lyft</t>
        </is>
      </c>
      <c r="C225" s="31" t="n">
        <v>1.94</v>
      </c>
      <c r="D225" s="22" t="n">
        <v>7.1</v>
      </c>
      <c r="E225" s="31" t="n">
        <v>13.08</v>
      </c>
      <c r="F225" s="22" t="n">
        <v>36.1</v>
      </c>
      <c r="G225" s="32" t="n">
        <v>25.47</v>
      </c>
      <c r="H225" s="33">
        <f>IFERROR(G225/(C225+E225),0)</f>
        <v/>
      </c>
      <c r="I225" s="33">
        <f>IFERROR((G225-(C225+E225)*Assumptions!$B$13)/((D225+F225)/60),0)</f>
        <v/>
      </c>
      <c r="J225" s="12" t="inlineStr">
        <is>
          <t>Passed</t>
        </is>
      </c>
      <c r="K225" s="33" t="n"/>
      <c r="L225" s="33" t="n"/>
      <c r="M225" s="33">
        <f>IF(J225="Took",L225,ROUND(G225*(1+Assumptions!$B$14)-(C225+E225)*Assumptions!$B$13,2))</f>
        <v/>
      </c>
      <c r="N225" s="12" t="inlineStr">
        <is>
          <t>Take</t>
        </is>
      </c>
      <c r="O225" s="12" t="inlineStr">
        <is>
          <t>Take</t>
        </is>
      </c>
      <c r="P225" s="12" t="inlineStr">
        <is>
          <t>Busy</t>
        </is>
      </c>
      <c r="Q225" s="12" t="inlineStr">
        <is>
          <t>Busy</t>
        </is>
      </c>
      <c r="R225" s="12" t="inlineStr">
        <is>
          <t>Busy</t>
        </is>
      </c>
      <c r="S225" s="12" t="inlineStr">
        <is>
          <t>360e17</t>
        </is>
      </c>
    </row>
    <row r="226">
      <c r="A226" s="24" t="n">
        <v>46326.31944444445</v>
      </c>
      <c r="B226" s="25" t="inlineStr">
        <is>
          <t>Uber</t>
        </is>
      </c>
      <c r="C226" s="26" t="n">
        <v>3.36</v>
      </c>
      <c r="D226" s="27" t="n">
        <v>11.2</v>
      </c>
      <c r="E226" s="26" t="n">
        <v>19.44</v>
      </c>
      <c r="F226" s="27" t="n">
        <v>52.2</v>
      </c>
      <c r="G226" s="28" t="n">
        <v>54.56</v>
      </c>
      <c r="H226" s="29">
        <f>IFERROR(G226/(C226+E226),0)</f>
        <v/>
      </c>
      <c r="I226" s="29">
        <f>IFERROR((G226-(C226+E226)*Assumptions!$B$13)/((D226+F226)/60),0)</f>
        <v/>
      </c>
      <c r="J226" s="25" t="inlineStr">
        <is>
          <t>Took</t>
        </is>
      </c>
      <c r="K226" s="28" t="n">
        <v>54.56</v>
      </c>
      <c r="L226" s="28" t="n">
        <v>48.12</v>
      </c>
      <c r="M226" s="29">
        <f>IF(J226="Took",L226,ROUND(G226*(1+Assumptions!$B$14)-(C226+E226)*Assumptions!$B$13,2))</f>
        <v/>
      </c>
      <c r="N226" s="25" t="inlineStr">
        <is>
          <t>Skip</t>
        </is>
      </c>
      <c r="O226" s="25" t="inlineStr">
        <is>
          <t>Skip</t>
        </is>
      </c>
      <c r="P226" s="25" t="inlineStr">
        <is>
          <t>Take</t>
        </is>
      </c>
      <c r="Q226" s="25" t="inlineStr">
        <is>
          <t>Take</t>
        </is>
      </c>
      <c r="R226" s="25" t="inlineStr">
        <is>
          <t>Take</t>
        </is>
      </c>
      <c r="S226" s="25" t="inlineStr">
        <is>
          <t>ed6091</t>
        </is>
      </c>
    </row>
    <row r="227">
      <c r="A227" s="30" t="n">
        <v>46326.39861111111</v>
      </c>
      <c r="B227" s="12" t="inlineStr">
        <is>
          <t>Uber</t>
        </is>
      </c>
      <c r="C227" s="31" t="n">
        <v>3.28</v>
      </c>
      <c r="D227" s="22" t="n">
        <v>10.5</v>
      </c>
      <c r="E227" s="31" t="n">
        <v>4.74</v>
      </c>
      <c r="F227" s="22" t="n">
        <v>13.6</v>
      </c>
      <c r="G227" s="32" t="n">
        <v>11.18</v>
      </c>
      <c r="H227" s="33">
        <f>IFERROR(G227/(C227+E227),0)</f>
        <v/>
      </c>
      <c r="I227" s="33">
        <f>IFERROR((G227-(C227+E227)*Assumptions!$B$13)/((D227+F227)/60),0)</f>
        <v/>
      </c>
      <c r="J227" s="12" t="inlineStr">
        <is>
          <t>Passed</t>
        </is>
      </c>
      <c r="K227" s="33" t="n"/>
      <c r="L227" s="33" t="n"/>
      <c r="M227" s="33">
        <f>IF(J227="Took",L227,ROUND(G227*(1+Assumptions!$B$14)-(C227+E227)*Assumptions!$B$13,2))</f>
        <v/>
      </c>
      <c r="N227" s="12" t="inlineStr">
        <is>
          <t>Skip</t>
        </is>
      </c>
      <c r="O227" s="12" t="inlineStr">
        <is>
          <t>Skip</t>
        </is>
      </c>
      <c r="P227" s="12" t="inlineStr">
        <is>
          <t>Busy</t>
        </is>
      </c>
      <c r="Q227" s="12" t="inlineStr">
        <is>
          <t>Busy</t>
        </is>
      </c>
      <c r="R227" s="12" t="inlineStr">
        <is>
          <t>Busy</t>
        </is>
      </c>
      <c r="S227" s="12" t="inlineStr">
        <is>
          <t>d0540e</t>
        </is>
      </c>
    </row>
    <row r="228">
      <c r="A228" s="24" t="n">
        <v>46326.40416666667</v>
      </c>
      <c r="B228" s="25" t="inlineStr">
        <is>
          <t>Lyft</t>
        </is>
      </c>
      <c r="C228" s="26" t="n">
        <v>1.99</v>
      </c>
      <c r="D228" s="27" t="n">
        <v>7.9</v>
      </c>
      <c r="E228" s="26" t="n">
        <v>4.74</v>
      </c>
      <c r="F228" s="27" t="n">
        <v>15</v>
      </c>
      <c r="G228" s="28" t="n">
        <v>34.35</v>
      </c>
      <c r="H228" s="29">
        <f>IFERROR(G228/(C228+E228),0)</f>
        <v/>
      </c>
      <c r="I228" s="29">
        <f>IFERROR((G228-(C228+E228)*Assumptions!$B$13)/((D228+F228)/60),0)</f>
        <v/>
      </c>
      <c r="J228" s="25" t="inlineStr">
        <is>
          <t>Took</t>
        </is>
      </c>
      <c r="K228" s="28" t="n">
        <v>34.35</v>
      </c>
      <c r="L228" s="28" t="n">
        <v>32.47</v>
      </c>
      <c r="M228" s="29">
        <f>IF(J228="Took",L228,ROUND(G228*(1+Assumptions!$B$14)-(C228+E228)*Assumptions!$B$13,2))</f>
        <v/>
      </c>
      <c r="N228" s="25" t="inlineStr">
        <is>
          <t>Take</t>
        </is>
      </c>
      <c r="O228" s="25" t="inlineStr">
        <is>
          <t>Take</t>
        </is>
      </c>
      <c r="P228" s="25" t="inlineStr">
        <is>
          <t>Take</t>
        </is>
      </c>
      <c r="Q228" s="25" t="inlineStr">
        <is>
          <t>Take</t>
        </is>
      </c>
      <c r="R228" s="25" t="inlineStr">
        <is>
          <t>Take</t>
        </is>
      </c>
      <c r="S228" s="25" t="inlineStr">
        <is>
          <t>016645</t>
        </is>
      </c>
    </row>
    <row r="229">
      <c r="A229" s="30" t="n">
        <v>46326.52083333334</v>
      </c>
      <c r="B229" s="12" t="inlineStr">
        <is>
          <t>Uber</t>
        </is>
      </c>
      <c r="C229" s="31" t="n">
        <v>2.16</v>
      </c>
      <c r="D229" s="22" t="n">
        <v>7.6</v>
      </c>
      <c r="E229" s="31" t="n">
        <v>19.3</v>
      </c>
      <c r="F229" s="22" t="n">
        <v>46</v>
      </c>
      <c r="G229" s="32" t="n">
        <v>34.39</v>
      </c>
      <c r="H229" s="33">
        <f>IFERROR(G229/(C229+E229),0)</f>
        <v/>
      </c>
      <c r="I229" s="33">
        <f>IFERROR((G229-(C229+E229)*Assumptions!$B$13)/((D229+F229)/60),0)</f>
        <v/>
      </c>
      <c r="J229" s="12" t="inlineStr">
        <is>
          <t>Passed</t>
        </is>
      </c>
      <c r="K229" s="33" t="n"/>
      <c r="L229" s="33" t="n"/>
      <c r="M229" s="33">
        <f>IF(J229="Took",L229,ROUND(G229*(1+Assumptions!$B$14)-(C229+E229)*Assumptions!$B$13,2))</f>
        <v/>
      </c>
      <c r="N229" s="12" t="inlineStr">
        <is>
          <t>Take</t>
        </is>
      </c>
      <c r="O229" s="12" t="inlineStr">
        <is>
          <t>Skip</t>
        </is>
      </c>
      <c r="P229" s="12" t="inlineStr">
        <is>
          <t>Busy</t>
        </is>
      </c>
      <c r="Q229" s="12" t="inlineStr">
        <is>
          <t>Busy</t>
        </is>
      </c>
      <c r="R229" s="12" t="inlineStr">
        <is>
          <t>Busy</t>
        </is>
      </c>
      <c r="S229" s="12" t="inlineStr">
        <is>
          <t>771217</t>
        </is>
      </c>
    </row>
    <row r="230">
      <c r="A230" s="24" t="n">
        <v>46326.52986111111</v>
      </c>
      <c r="B230" s="25" t="inlineStr">
        <is>
          <t>Uber</t>
        </is>
      </c>
      <c r="C230" s="26" t="n">
        <v>4.2</v>
      </c>
      <c r="D230" s="27" t="n">
        <v>12.2</v>
      </c>
      <c r="E230" s="26" t="n">
        <v>8.67</v>
      </c>
      <c r="F230" s="27" t="n">
        <v>23.5</v>
      </c>
      <c r="G230" s="28" t="n">
        <v>22.77</v>
      </c>
      <c r="H230" s="29">
        <f>IFERROR(G230/(C230+E230),0)</f>
        <v/>
      </c>
      <c r="I230" s="29">
        <f>IFERROR((G230-(C230+E230)*Assumptions!$B$13)/((D230+F230)/60),0)</f>
        <v/>
      </c>
      <c r="J230" s="25" t="inlineStr">
        <is>
          <t>Took</t>
        </is>
      </c>
      <c r="K230" s="28" t="n">
        <v>32.98</v>
      </c>
      <c r="L230" s="28" t="n">
        <v>29.36</v>
      </c>
      <c r="M230" s="29">
        <f>IF(J230="Took",L230,ROUND(G230*(1+Assumptions!$B$14)-(C230+E230)*Assumptions!$B$13,2))</f>
        <v/>
      </c>
      <c r="N230" s="25" t="inlineStr">
        <is>
          <t>Skip</t>
        </is>
      </c>
      <c r="O230" s="25" t="inlineStr">
        <is>
          <t>Skip</t>
        </is>
      </c>
      <c r="P230" s="25" t="inlineStr">
        <is>
          <t>Take</t>
        </is>
      </c>
      <c r="Q230" s="25" t="inlineStr">
        <is>
          <t>Take</t>
        </is>
      </c>
      <c r="R230" s="25" t="inlineStr">
        <is>
          <t>Take</t>
        </is>
      </c>
      <c r="S230" s="25" t="inlineStr">
        <is>
          <t>495faf</t>
        </is>
      </c>
    </row>
    <row r="231">
      <c r="A231" s="30" t="n">
        <v>46326.56666666667</v>
      </c>
      <c r="B231" s="12" t="inlineStr">
        <is>
          <t>Lyft</t>
        </is>
      </c>
      <c r="C231" s="31" t="n">
        <v>4.02</v>
      </c>
      <c r="D231" s="22" t="n">
        <v>12.4</v>
      </c>
      <c r="E231" s="31" t="n">
        <v>5.53</v>
      </c>
      <c r="F231" s="22" t="n">
        <v>20</v>
      </c>
      <c r="G231" s="32" t="n">
        <v>12.37</v>
      </c>
      <c r="H231" s="33">
        <f>IFERROR(G231/(C231+E231),0)</f>
        <v/>
      </c>
      <c r="I231" s="33">
        <f>IFERROR((G231-(C231+E231)*Assumptions!$B$13)/((D231+F231)/60),0)</f>
        <v/>
      </c>
      <c r="J231" s="12" t="inlineStr">
        <is>
          <t>Passed</t>
        </is>
      </c>
      <c r="K231" s="33" t="n"/>
      <c r="L231" s="33" t="n"/>
      <c r="M231" s="33">
        <f>IF(J231="Took",L231,ROUND(G231*(1+Assumptions!$B$14)-(C231+E231)*Assumptions!$B$13,2))</f>
        <v/>
      </c>
      <c r="N231" s="12" t="inlineStr">
        <is>
          <t>Skip</t>
        </is>
      </c>
      <c r="O231" s="12" t="inlineStr">
        <is>
          <t>Skip</t>
        </is>
      </c>
      <c r="P231" s="12" t="inlineStr">
        <is>
          <t>Busy</t>
        </is>
      </c>
      <c r="Q231" s="12" t="inlineStr">
        <is>
          <t>Skip</t>
        </is>
      </c>
      <c r="R231" s="12" t="inlineStr">
        <is>
          <t>Busy</t>
        </is>
      </c>
      <c r="S231" s="12" t="inlineStr">
        <is>
          <t>1dfaaa</t>
        </is>
      </c>
    </row>
    <row r="232">
      <c r="A232" s="24" t="n">
        <v>46326.57291666666</v>
      </c>
      <c r="B232" s="25" t="inlineStr">
        <is>
          <t>Uber</t>
        </is>
      </c>
      <c r="C232" s="26" t="n">
        <v>0.95</v>
      </c>
      <c r="D232" s="27" t="n">
        <v>5.5</v>
      </c>
      <c r="E232" s="26" t="n">
        <v>13.35</v>
      </c>
      <c r="F232" s="27" t="n">
        <v>38.4</v>
      </c>
      <c r="G232" s="28" t="n">
        <v>16.8</v>
      </c>
      <c r="H232" s="29">
        <f>IFERROR(G232/(C232+E232),0)</f>
        <v/>
      </c>
      <c r="I232" s="29">
        <f>IFERROR((G232-(C232+E232)*Assumptions!$B$13)/((D232+F232)/60),0)</f>
        <v/>
      </c>
      <c r="J232" s="25" t="inlineStr">
        <is>
          <t>Took</t>
        </is>
      </c>
      <c r="K232" s="28" t="n">
        <v>16.8</v>
      </c>
      <c r="L232" s="28" t="n">
        <v>12.81</v>
      </c>
      <c r="M232" s="29">
        <f>IF(J232="Took",L232,ROUND(G232*(1+Assumptions!$B$14)-(C232+E232)*Assumptions!$B$13,2))</f>
        <v/>
      </c>
      <c r="N232" s="25" t="inlineStr">
        <is>
          <t>Take</t>
        </is>
      </c>
      <c r="O232" s="25" t="inlineStr">
        <is>
          <t>Take</t>
        </is>
      </c>
      <c r="P232" s="25" t="inlineStr">
        <is>
          <t>Take</t>
        </is>
      </c>
      <c r="Q232" s="25" t="inlineStr">
        <is>
          <t>Skip</t>
        </is>
      </c>
      <c r="R232" s="25" t="inlineStr">
        <is>
          <t>Take</t>
        </is>
      </c>
      <c r="S232" s="25" t="inlineStr">
        <is>
          <t>0137e5</t>
        </is>
      </c>
    </row>
    <row r="233">
      <c r="A233" s="30" t="n">
        <v>46326.60833333333</v>
      </c>
      <c r="B233" s="12" t="inlineStr">
        <is>
          <t>Lyft</t>
        </is>
      </c>
      <c r="C233" s="31" t="n">
        <v>7.74</v>
      </c>
      <c r="D233" s="22" t="n">
        <v>22.1</v>
      </c>
      <c r="E233" s="31" t="n">
        <v>21.04</v>
      </c>
      <c r="F233" s="22" t="n">
        <v>52.7</v>
      </c>
      <c r="G233" s="32" t="n">
        <v>38.94</v>
      </c>
      <c r="H233" s="33">
        <f>IFERROR(G233/(C233+E233),0)</f>
        <v/>
      </c>
      <c r="I233" s="33">
        <f>IFERROR((G233-(C233+E233)*Assumptions!$B$13)/((D233+F233)/60),0)</f>
        <v/>
      </c>
      <c r="J233" s="12" t="inlineStr">
        <is>
          <t>Passed</t>
        </is>
      </c>
      <c r="K233" s="33" t="n"/>
      <c r="L233" s="33" t="n"/>
      <c r="M233" s="33">
        <f>IF(J233="Took",L233,ROUND(G233*(1+Assumptions!$B$14)-(C233+E233)*Assumptions!$B$13,2))</f>
        <v/>
      </c>
      <c r="N233" s="12" t="inlineStr">
        <is>
          <t>Skip</t>
        </is>
      </c>
      <c r="O233" s="12" t="inlineStr">
        <is>
          <t>Skip</t>
        </is>
      </c>
      <c r="P233" s="12" t="inlineStr">
        <is>
          <t>Busy</t>
        </is>
      </c>
      <c r="Q233" s="12" t="inlineStr">
        <is>
          <t>Take</t>
        </is>
      </c>
      <c r="R233" s="12" t="inlineStr">
        <is>
          <t>Busy</t>
        </is>
      </c>
      <c r="S233" s="12" t="inlineStr">
        <is>
          <t>631ca2</t>
        </is>
      </c>
    </row>
    <row r="234">
      <c r="A234" s="24" t="n">
        <v>46326.61944444444</v>
      </c>
      <c r="B234" s="25" t="inlineStr">
        <is>
          <t>Uber</t>
        </is>
      </c>
      <c r="C234" s="26" t="n">
        <v>1.53</v>
      </c>
      <c r="D234" s="27" t="n">
        <v>6.5</v>
      </c>
      <c r="E234" s="26" t="n">
        <v>7.18</v>
      </c>
      <c r="F234" s="27" t="n">
        <v>21</v>
      </c>
      <c r="G234" s="28" t="n">
        <v>8.41</v>
      </c>
      <c r="H234" s="29">
        <f>IFERROR(G234/(C234+E234),0)</f>
        <v/>
      </c>
      <c r="I234" s="29">
        <f>IFERROR((G234-(C234+E234)*Assumptions!$B$13)/((D234+F234)/60),0)</f>
        <v/>
      </c>
      <c r="J234" s="25" t="inlineStr">
        <is>
          <t>Took</t>
        </is>
      </c>
      <c r="K234" s="28" t="n">
        <v>15.66</v>
      </c>
      <c r="L234" s="28" t="n">
        <v>13.22</v>
      </c>
      <c r="M234" s="29">
        <f>IF(J234="Took",L234,ROUND(G234*(1+Assumptions!$B$14)-(C234+E234)*Assumptions!$B$13,2))</f>
        <v/>
      </c>
      <c r="N234" s="25" t="inlineStr">
        <is>
          <t>Take</t>
        </is>
      </c>
      <c r="O234" s="25" t="inlineStr">
        <is>
          <t>Take</t>
        </is>
      </c>
      <c r="P234" s="25" t="inlineStr">
        <is>
          <t>Skip</t>
        </is>
      </c>
      <c r="Q234" s="25" t="inlineStr">
        <is>
          <t>Skip</t>
        </is>
      </c>
      <c r="R234" s="25" t="inlineStr">
        <is>
          <t>Take</t>
        </is>
      </c>
      <c r="S234" s="25" t="inlineStr">
        <is>
          <t>5008f7</t>
        </is>
      </c>
    </row>
    <row r="235">
      <c r="A235" s="30" t="n">
        <v>46326.62638888889</v>
      </c>
      <c r="B235" s="12" t="inlineStr">
        <is>
          <t>Lyft</t>
        </is>
      </c>
      <c r="C235" s="31" t="n">
        <v>6.79</v>
      </c>
      <c r="D235" s="22" t="n">
        <v>19.6</v>
      </c>
      <c r="E235" s="31" t="n">
        <v>10.19</v>
      </c>
      <c r="F235" s="22" t="n">
        <v>29.3</v>
      </c>
      <c r="G235" s="32" t="n">
        <v>21.9</v>
      </c>
      <c r="H235" s="33">
        <f>IFERROR(G235/(C235+E235),0)</f>
        <v/>
      </c>
      <c r="I235" s="33">
        <f>IFERROR((G235-(C235+E235)*Assumptions!$B$13)/((D235+F235)/60),0)</f>
        <v/>
      </c>
      <c r="J235" s="12" t="inlineStr">
        <is>
          <t>Passed</t>
        </is>
      </c>
      <c r="K235" s="33" t="n"/>
      <c r="L235" s="33" t="n"/>
      <c r="M235" s="33">
        <f>IF(J235="Took",L235,ROUND(G235*(1+Assumptions!$B$14)-(C235+E235)*Assumptions!$B$13,2))</f>
        <v/>
      </c>
      <c r="N235" s="12" t="inlineStr">
        <is>
          <t>Skip</t>
        </is>
      </c>
      <c r="O235" s="12" t="inlineStr">
        <is>
          <t>Skip</t>
        </is>
      </c>
      <c r="P235" s="12" t="inlineStr">
        <is>
          <t>Busy</t>
        </is>
      </c>
      <c r="Q235" s="12" t="inlineStr">
        <is>
          <t>Busy</t>
        </is>
      </c>
      <c r="R235" s="12" t="inlineStr">
        <is>
          <t>Busy</t>
        </is>
      </c>
      <c r="S235" s="12" t="inlineStr">
        <is>
          <t>7b89a4</t>
        </is>
      </c>
    </row>
    <row r="236">
      <c r="A236" s="24" t="n">
        <v>46326.63402777778</v>
      </c>
      <c r="B236" s="25" t="inlineStr">
        <is>
          <t>Lyft</t>
        </is>
      </c>
      <c r="C236" s="26" t="n">
        <v>3.13</v>
      </c>
      <c r="D236" s="27" t="n">
        <v>10.2</v>
      </c>
      <c r="E236" s="26" t="n">
        <v>4.46</v>
      </c>
      <c r="F236" s="27" t="n">
        <v>13.3</v>
      </c>
      <c r="G236" s="28" t="n">
        <v>8.380000000000001</v>
      </c>
      <c r="H236" s="29">
        <f>IFERROR(G236/(C236+E236),0)</f>
        <v/>
      </c>
      <c r="I236" s="29">
        <f>IFERROR((G236-(C236+E236)*Assumptions!$B$13)/((D236+F236)/60),0)</f>
        <v/>
      </c>
      <c r="J236" s="25" t="inlineStr">
        <is>
          <t>Took</t>
        </is>
      </c>
      <c r="K236" s="28" t="n">
        <v>9.789999999999999</v>
      </c>
      <c r="L236" s="28" t="n">
        <v>7.67</v>
      </c>
      <c r="M236" s="29">
        <f>IF(J236="Took",L236,ROUND(G236*(1+Assumptions!$B$14)-(C236+E236)*Assumptions!$B$13,2))</f>
        <v/>
      </c>
      <c r="N236" s="25" t="inlineStr">
        <is>
          <t>Skip</t>
        </is>
      </c>
      <c r="O236" s="25" t="inlineStr">
        <is>
          <t>Skip</t>
        </is>
      </c>
      <c r="P236" s="25" t="inlineStr">
        <is>
          <t>Take</t>
        </is>
      </c>
      <c r="Q236" s="25" t="inlineStr">
        <is>
          <t>Skip</t>
        </is>
      </c>
      <c r="R236" s="25" t="inlineStr">
        <is>
          <t>Take</t>
        </is>
      </c>
      <c r="S236" s="25" t="inlineStr">
        <is>
          <t>d36b4c</t>
        </is>
      </c>
    </row>
    <row r="237">
      <c r="A237" s="30" t="n">
        <v>46326.80069444444</v>
      </c>
      <c r="B237" s="12" t="inlineStr">
        <is>
          <t>Uber</t>
        </is>
      </c>
      <c r="C237" s="31" t="n">
        <v>2.32</v>
      </c>
      <c r="D237" s="22" t="n">
        <v>7.3</v>
      </c>
      <c r="E237" s="31" t="n">
        <v>3.46</v>
      </c>
      <c r="F237" s="22" t="n">
        <v>15.8</v>
      </c>
      <c r="G237" s="32" t="n">
        <v>16.66</v>
      </c>
      <c r="H237" s="33">
        <f>IFERROR(G237/(C237+E237),0)</f>
        <v/>
      </c>
      <c r="I237" s="33">
        <f>IFERROR((G237-(C237+E237)*Assumptions!$B$13)/((D237+F237)/60),0)</f>
        <v/>
      </c>
      <c r="J237" s="12" t="inlineStr">
        <is>
          <t>Took</t>
        </is>
      </c>
      <c r="K237" s="32" t="n">
        <v>16.66</v>
      </c>
      <c r="L237" s="32" t="n">
        <v>15.04</v>
      </c>
      <c r="M237" s="33">
        <f>IF(J237="Took",L237,ROUND(G237*(1+Assumptions!$B$14)-(C237+E237)*Assumptions!$B$13,2))</f>
        <v/>
      </c>
      <c r="N237" s="12" t="inlineStr">
        <is>
          <t>Take</t>
        </is>
      </c>
      <c r="O237" s="12" t="inlineStr">
        <is>
          <t>Skip</t>
        </is>
      </c>
      <c r="P237" s="12" t="inlineStr">
        <is>
          <t>Take</t>
        </is>
      </c>
      <c r="Q237" s="12" t="inlineStr">
        <is>
          <t>Take</t>
        </is>
      </c>
      <c r="R237" s="12" t="inlineStr">
        <is>
          <t>Take</t>
        </is>
      </c>
      <c r="S237" s="12" t="inlineStr">
        <is>
          <t>f7ca07</t>
        </is>
      </c>
    </row>
    <row r="238">
      <c r="A238" s="24" t="n">
        <v>46326.88125</v>
      </c>
      <c r="B238" s="25" t="inlineStr">
        <is>
          <t>Lyft</t>
        </is>
      </c>
      <c r="C238" s="26" t="n">
        <v>3.76</v>
      </c>
      <c r="D238" s="27" t="n">
        <v>11.8</v>
      </c>
      <c r="E238" s="26" t="n">
        <v>19.67</v>
      </c>
      <c r="F238" s="27" t="n">
        <v>48.2</v>
      </c>
      <c r="G238" s="28" t="n">
        <v>34.53</v>
      </c>
      <c r="H238" s="29">
        <f>IFERROR(G238/(C238+E238),0)</f>
        <v/>
      </c>
      <c r="I238" s="29">
        <f>IFERROR((G238-(C238+E238)*Assumptions!$B$13)/((D238+F238)/60),0)</f>
        <v/>
      </c>
      <c r="J238" s="25" t="inlineStr">
        <is>
          <t>Passed</t>
        </is>
      </c>
      <c r="K238" s="29" t="n"/>
      <c r="L238" s="29" t="n"/>
      <c r="M238" s="29">
        <f>IF(J238="Took",L238,ROUND(G238*(1+Assumptions!$B$14)-(C238+E238)*Assumptions!$B$13,2))</f>
        <v/>
      </c>
      <c r="N238" s="25" t="inlineStr">
        <is>
          <t>Skip</t>
        </is>
      </c>
      <c r="O238" s="25" t="inlineStr">
        <is>
          <t>Skip</t>
        </is>
      </c>
      <c r="P238" s="25" t="inlineStr">
        <is>
          <t>Busy</t>
        </is>
      </c>
      <c r="Q238" s="25" t="inlineStr">
        <is>
          <t>Busy</t>
        </is>
      </c>
      <c r="R238" s="25" t="inlineStr">
        <is>
          <t>Busy</t>
        </is>
      </c>
      <c r="S238" s="25" t="inlineStr">
        <is>
          <t>78ae06</t>
        </is>
      </c>
    </row>
    <row r="239">
      <c r="A239" s="30" t="n">
        <v>46326.88541666666</v>
      </c>
      <c r="B239" s="12" t="inlineStr">
        <is>
          <t>Uber</t>
        </is>
      </c>
      <c r="C239" s="31" t="n">
        <v>0.38</v>
      </c>
      <c r="D239" s="22" t="n">
        <v>3.8</v>
      </c>
      <c r="E239" s="31" t="n">
        <v>5.97</v>
      </c>
      <c r="F239" s="22" t="n">
        <v>16.8</v>
      </c>
      <c r="G239" s="32" t="n">
        <v>23.95</v>
      </c>
      <c r="H239" s="33">
        <f>IFERROR(G239/(C239+E239),0)</f>
        <v/>
      </c>
      <c r="I239" s="33">
        <f>IFERROR((G239-(C239+E239)*Assumptions!$B$13)/((D239+F239)/60),0)</f>
        <v/>
      </c>
      <c r="J239" s="12" t="inlineStr">
        <is>
          <t>Took</t>
        </is>
      </c>
      <c r="K239" s="32" t="n">
        <v>23.95</v>
      </c>
      <c r="L239" s="32" t="n">
        <v>22.18</v>
      </c>
      <c r="M239" s="33">
        <f>IF(J239="Took",L239,ROUND(G239*(1+Assumptions!$B$14)-(C239+E239)*Assumptions!$B$13,2))</f>
        <v/>
      </c>
      <c r="N239" s="12" t="inlineStr">
        <is>
          <t>Take</t>
        </is>
      </c>
      <c r="O239" s="12" t="inlineStr">
        <is>
          <t>Take</t>
        </is>
      </c>
      <c r="P239" s="12" t="inlineStr">
        <is>
          <t>Take</t>
        </is>
      </c>
      <c r="Q239" s="12" t="inlineStr">
        <is>
          <t>Take</t>
        </is>
      </c>
      <c r="R239" s="12" t="inlineStr">
        <is>
          <t>Take</t>
        </is>
      </c>
      <c r="S239" s="12" t="inlineStr">
        <is>
          <t>c83716</t>
        </is>
      </c>
    </row>
  </sheetData>
  <autoFilter ref="A1:S239"/>
  <conditionalFormatting sqref="N2:R239">
    <cfRule type="cellIs" priority="1" operator="equal" dxfId="2">
      <formula>"Take"</formula>
    </cfRule>
    <cfRule type="cellIs" priority="2" operator="equal" dxfId="3">
      <formula>"Skip"</formula>
    </cfRule>
    <cfRule type="cellIs" priority="3" operator="equal" dxfId="4">
      <formula>"Busy"</formula>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2026-10-26T21:51:17Z</dcterms:created>
  <dcterms:modified xsi:type="dcterms:W3CDTF">2026-10-26T21:51:17Z</dcterms:modified>
</cp:coreProperties>
</file>